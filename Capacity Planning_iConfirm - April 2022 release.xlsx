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amedeloitte.sharepoint.com/sites/DAS-CBORunServices/Shared Documents/General/Wave 4/IConfirm/IConfirm 9.1.2 April 2022 Release/"/>
    </mc:Choice>
  </mc:AlternateContent>
  <xr:revisionPtr revIDLastSave="165" documentId="13_ncr:1_{3F99A004-F8CE-4049-BE5D-57FEA7EB7697}" xr6:coauthVersionLast="46" xr6:coauthVersionMax="47" xr10:uidLastSave="{610D80B5-3212-452C-A8F4-95E676F741A5}"/>
  <bookViews>
    <workbookView xWindow="-110" yWindow="-110" windowWidth="19420" windowHeight="10420" tabRatio="760" activeTab="5" xr2:uid="{853FC744-3CAC-477C-8ED8-C666254E3ED4}"/>
  </bookViews>
  <sheets>
    <sheet name="Capacity_8_hrs" sheetId="3" r:id="rId1"/>
    <sheet name="BAU" sheetId="21" r:id="rId2"/>
    <sheet name="POD Structure" sheetId="20" r:id="rId3"/>
    <sheet name="Timeline" sheetId="7" state="hidden" r:id="rId4"/>
    <sheet name="PBIs Sprint 1" sheetId="2" r:id="rId5"/>
    <sheet name="PBIs Sprint 2" sheetId="17" r:id="rId6"/>
    <sheet name="PBIs Sprint 3" sheetId="18" r:id="rId7"/>
    <sheet name="PBIs Sprint 4" sheetId="19" r:id="rId8"/>
    <sheet name="todo" sheetId="16" r:id="rId9"/>
    <sheet name="PBIs Sprint 3 old" sheetId="10" state="hidden" r:id="rId10"/>
    <sheet name="PBIs Sprint 2 old" sheetId="6" state="hidden" r:id="rId11"/>
    <sheet name="Sheet1" sheetId="8" state="hidden" r:id="rId12"/>
    <sheet name="SP Estimation guidelines" sheetId="4" r:id="rId13"/>
  </sheets>
  <definedNames>
    <definedName name="_xlnm._FilterDatabase" localSheetId="1" hidden="1">BAU!$A$1:$G$10</definedName>
    <definedName name="_xlnm._FilterDatabase" localSheetId="4" hidden="1">'PBIs Sprint 1'!$A$1:$X$3</definedName>
    <definedName name="_xlnm._FilterDatabase" localSheetId="5" hidden="1">'PBIs Sprint 2'!$A$1:$X$3</definedName>
    <definedName name="_xlnm._FilterDatabase" localSheetId="10" hidden="1">'PBIs Sprint 2 old'!$A$1:$Q$6</definedName>
    <definedName name="_xlnm._FilterDatabase" localSheetId="6" hidden="1">'PBIs Sprint 3'!$A$1:$X$4</definedName>
    <definedName name="_xlnm._FilterDatabase" localSheetId="9" hidden="1">'PBIs Sprint 3 old'!$A$1:$Q$4</definedName>
    <definedName name="_xlnm._FilterDatabase" localSheetId="7" hidden="1">'PBIs Sprint 4'!$A$1:$X$1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17" l="1"/>
  <c r="J5" i="17"/>
  <c r="K5" i="17"/>
  <c r="L5" i="17"/>
  <c r="M5" i="17"/>
  <c r="I5" i="2"/>
  <c r="J5" i="2"/>
  <c r="K5" i="2"/>
  <c r="L5" i="2"/>
  <c r="M5" i="2"/>
  <c r="I4" i="2"/>
  <c r="J4" i="2" s="1"/>
  <c r="M4" i="2" s="1"/>
  <c r="I4" i="17"/>
  <c r="J4" i="17" s="1"/>
  <c r="M4" i="17" s="1"/>
  <c r="C73" i="3"/>
  <c r="C71" i="3"/>
  <c r="C70" i="3"/>
  <c r="C72" i="3"/>
  <c r="I67" i="3"/>
  <c r="C67" i="3" s="1"/>
  <c r="I66" i="3"/>
  <c r="C66" i="3" s="1"/>
  <c r="I2" i="19"/>
  <c r="J2" i="19" s="1"/>
  <c r="M2" i="19" s="1"/>
  <c r="L4" i="19"/>
  <c r="K4" i="19"/>
  <c r="I3" i="19"/>
  <c r="J3" i="19" s="1"/>
  <c r="M3" i="19" s="1"/>
  <c r="H45" i="3"/>
  <c r="C53" i="3"/>
  <c r="I48" i="3"/>
  <c r="C48" i="3"/>
  <c r="C35" i="3"/>
  <c r="L5" i="18"/>
  <c r="K5" i="18"/>
  <c r="I4" i="18"/>
  <c r="J4" i="18" s="1"/>
  <c r="M4" i="18" s="1"/>
  <c r="I3" i="18"/>
  <c r="J3" i="18" s="1"/>
  <c r="M3" i="18" s="1"/>
  <c r="I2" i="18"/>
  <c r="J2" i="18" s="1"/>
  <c r="M2" i="18" s="1"/>
  <c r="I30" i="3"/>
  <c r="C30" i="3" s="1"/>
  <c r="I3" i="17"/>
  <c r="J3" i="17" s="1"/>
  <c r="M3" i="17" s="1"/>
  <c r="I2" i="17"/>
  <c r="J2" i="17" s="1"/>
  <c r="M2" i="17" s="1"/>
  <c r="M4" i="19" l="1"/>
  <c r="J4" i="19"/>
  <c r="I4" i="19"/>
  <c r="J5" i="18"/>
  <c r="C51" i="3" s="1"/>
  <c r="M5" i="18"/>
  <c r="C52" i="3" s="1"/>
  <c r="I5" i="18"/>
  <c r="C33" i="3"/>
  <c r="C34" i="3"/>
  <c r="I3" i="2" l="1"/>
  <c r="J3" i="2" s="1"/>
  <c r="I2" i="2"/>
  <c r="M3" i="2" l="1"/>
  <c r="J2" i="2"/>
  <c r="M2" i="2" s="1"/>
  <c r="C15" i="3" l="1"/>
  <c r="C14" i="3"/>
  <c r="I9" i="3"/>
  <c r="C9" i="3" s="1"/>
  <c r="I8" i="3"/>
  <c r="C8" i="3" s="1"/>
  <c r="I45" i="3" l="1"/>
  <c r="C45" i="3" s="1"/>
  <c r="I29" i="3"/>
  <c r="C29" i="3" s="1"/>
  <c r="C32" i="3" s="1"/>
  <c r="I27" i="3"/>
  <c r="C27" i="3" s="1"/>
  <c r="I28" i="3"/>
  <c r="C28" i="3" s="1"/>
  <c r="M6" i="10" l="1"/>
  <c r="M5" i="10"/>
  <c r="M4" i="10"/>
  <c r="M3" i="10"/>
  <c r="M2" i="10"/>
  <c r="J6" i="10"/>
  <c r="J5" i="10"/>
  <c r="J4" i="10"/>
  <c r="J3" i="10"/>
  <c r="J2" i="10"/>
  <c r="L9" i="10"/>
  <c r="K9" i="10"/>
  <c r="H9" i="10"/>
  <c r="G9" i="10"/>
  <c r="F9" i="10"/>
  <c r="E9" i="10"/>
  <c r="L10" i="6"/>
  <c r="K10" i="6"/>
  <c r="H10" i="6"/>
  <c r="G10" i="6"/>
  <c r="F10" i="6"/>
  <c r="E10" i="6"/>
  <c r="I7" i="6"/>
  <c r="J7" i="6" s="1"/>
  <c r="M7" i="6" s="1"/>
  <c r="J5" i="6"/>
  <c r="M5" i="6" s="1"/>
  <c r="I5" i="6"/>
  <c r="C16" i="3"/>
  <c r="M9" i="10" l="1"/>
  <c r="J9" i="10"/>
  <c r="I9" i="10"/>
  <c r="I6" i="6"/>
  <c r="M4" i="6"/>
  <c r="I3" i="6"/>
  <c r="J3" i="6" s="1"/>
  <c r="M3" i="6" s="1"/>
  <c r="I2" i="6"/>
  <c r="J2" i="6" s="1"/>
  <c r="C54" i="3"/>
  <c r="J6" i="6" l="1"/>
  <c r="I10" i="6"/>
  <c r="M2" i="6"/>
  <c r="I65" i="3"/>
  <c r="C65" i="3" s="1"/>
  <c r="I64" i="3"/>
  <c r="C64" i="3" s="1"/>
  <c r="I63" i="3"/>
  <c r="C63" i="3" s="1"/>
  <c r="I62" i="3"/>
  <c r="C62" i="3" s="1"/>
  <c r="I61" i="3"/>
  <c r="C61" i="3" s="1"/>
  <c r="I47" i="3"/>
  <c r="C47" i="3" s="1"/>
  <c r="I46" i="3"/>
  <c r="C46" i="3" s="1"/>
  <c r="I44" i="3"/>
  <c r="C44" i="3" s="1"/>
  <c r="I43" i="3"/>
  <c r="C43" i="3" s="1"/>
  <c r="I42" i="3"/>
  <c r="C42" i="3" s="1"/>
  <c r="I26" i="3"/>
  <c r="C26" i="3" s="1"/>
  <c r="I25" i="3"/>
  <c r="C25" i="3" s="1"/>
  <c r="I24" i="3"/>
  <c r="C24" i="3" s="1"/>
  <c r="I7" i="3"/>
  <c r="C7" i="3" s="1"/>
  <c r="I6" i="3"/>
  <c r="C6" i="3" s="1"/>
  <c r="I5" i="3"/>
  <c r="C5" i="3" s="1"/>
  <c r="I4" i="3"/>
  <c r="C4" i="3" s="1"/>
  <c r="I3" i="3"/>
  <c r="C3" i="3" s="1"/>
  <c r="C69" i="3" l="1"/>
  <c r="C74" i="3" s="1"/>
  <c r="C13" i="3"/>
  <c r="C18" i="3" s="1"/>
  <c r="C50" i="3"/>
  <c r="C55" i="3" s="1"/>
  <c r="M6" i="6"/>
  <c r="M10" i="6" s="1"/>
  <c r="J10" i="6"/>
  <c r="C36" i="3" s="1"/>
  <c r="C75" i="3" l="1"/>
  <c r="C37" i="3"/>
  <c r="C79" i="3" s="1"/>
  <c r="C38" i="3"/>
  <c r="C56" i="3"/>
  <c r="C17" i="3"/>
  <c r="C78" i="3" s="1"/>
  <c r="C80" i="3"/>
  <c r="C77" i="3" l="1"/>
  <c r="C19" i="3"/>
  <c r="C81" i="3" s="1"/>
</calcChain>
</file>

<file path=xl/sharedStrings.xml><?xml version="1.0" encoding="utf-8"?>
<sst xmlns="http://schemas.openxmlformats.org/spreadsheetml/2006/main" count="558" uniqueCount="249">
  <si>
    <t>Sprint #1: 02/14 to 02/25</t>
  </si>
  <si>
    <t>Name</t>
  </si>
  <si>
    <t>Daily capacity (hrs)</t>
  </si>
  <si>
    <t>Sprint 1 capacity (hrs)</t>
  </si>
  <si>
    <t>total sprint # of days</t>
  </si>
  <si>
    <t>sprint planning (days)</t>
  </si>
  <si>
    <t>sprint review/retro (days)</t>
  </si>
  <si>
    <t>QA+Defects fixing+defects retesting (hrs)</t>
  </si>
  <si>
    <t>Holidays/PTO (days)</t>
  </si>
  <si>
    <t>Active dev days</t>
  </si>
  <si>
    <t>Kumar Anagandula, Harish</t>
  </si>
  <si>
    <t>Geever, Vineeth Paul</t>
  </si>
  <si>
    <t>Surve, Diptesh Dattaram</t>
  </si>
  <si>
    <t>Kumari, Dolly</t>
  </si>
  <si>
    <t>Naresh, Parnapalli</t>
  </si>
  <si>
    <t>Begum, Tadimarri Akhila</t>
  </si>
  <si>
    <t>Para, Mohsin Hussain</t>
  </si>
  <si>
    <t>Total capacity</t>
  </si>
  <si>
    <t>Prod Support</t>
  </si>
  <si>
    <t>hrs</t>
  </si>
  <si>
    <t>Actual Dev + UT</t>
  </si>
  <si>
    <t>Antra</t>
  </si>
  <si>
    <t>Actual Dev + QA</t>
  </si>
  <si>
    <t>Durga</t>
  </si>
  <si>
    <t>Daily scrum</t>
  </si>
  <si>
    <t>0.5 hrs each day for each member</t>
  </si>
  <si>
    <t>Bug fixes + DevOps (code review/review comments incorporation/build activities/BSA clarification)</t>
  </si>
  <si>
    <t>~ 35% of Actual Dev + UT</t>
  </si>
  <si>
    <t>standard buffer</t>
  </si>
  <si>
    <t>~ buffer is 20% of total capacity</t>
  </si>
  <si>
    <t>Actual buffer</t>
  </si>
  <si>
    <t>Sprint# 2: 02/28/2022 to 03/11/2022</t>
  </si>
  <si>
    <t>Daily capacity</t>
  </si>
  <si>
    <t>Sprint 2 capacity (hrs)</t>
  </si>
  <si>
    <t>total sprint# of days</t>
  </si>
  <si>
    <t>sprint review/retro</t>
  </si>
  <si>
    <t xml:space="preserve"> </t>
  </si>
  <si>
    <t>Bug fixes + DevOps (code review/review comments incorporation/build activties/BSA clarification)</t>
  </si>
  <si>
    <t>Standard buffer</t>
  </si>
  <si>
    <t>Sprint# 3 - 03/14/2022 to 03/25/2022</t>
  </si>
  <si>
    <t>bug fixes + devOps (code review/review comments incorporation/build activties/BSA clarification)</t>
  </si>
  <si>
    <t>Sprint# 4 - 03/28/2022 to 04/8/2022</t>
  </si>
  <si>
    <t>Total of Sprint 1, 2, 3, 4 - Dev + QA</t>
  </si>
  <si>
    <t>Daily scrum + bug fixes + devOps</t>
  </si>
  <si>
    <t>~20% of total capacity</t>
  </si>
  <si>
    <t>Total Capacity</t>
  </si>
  <si>
    <t>Buffer %</t>
  </si>
  <si>
    <t>bug fixes + devOps (code review/review comments incorporation/build activties/BSA clarification) %</t>
  </si>
  <si>
    <t>UT %</t>
  </si>
  <si>
    <t>dev start</t>
  </si>
  <si>
    <t>dev completion</t>
  </si>
  <si>
    <t>QA sign off UAT deployment</t>
  </si>
  <si>
    <t>UAT sign off</t>
  </si>
  <si>
    <t>Sprint 1</t>
  </si>
  <si>
    <t>Sprint 2</t>
  </si>
  <si>
    <t>Release QA Regression</t>
  </si>
  <si>
    <t>UAT Regression</t>
  </si>
  <si>
    <t>ID</t>
  </si>
  <si>
    <t>Work Item Type</t>
  </si>
  <si>
    <t>Title 2</t>
  </si>
  <si>
    <t>Iteration Path</t>
  </si>
  <si>
    <t>Story Points</t>
  </si>
  <si>
    <t>BE(Hr)</t>
  </si>
  <si>
    <t>FE(Hr)</t>
  </si>
  <si>
    <t>SQL(Hr)</t>
  </si>
  <si>
    <t>UT</t>
  </si>
  <si>
    <t>Dev + UT</t>
  </si>
  <si>
    <t>Test Design</t>
  </si>
  <si>
    <t>Test Execution</t>
  </si>
  <si>
    <t>Dev + QA Estimate</t>
  </si>
  <si>
    <t>Comments</t>
  </si>
  <si>
    <t>Sprint</t>
  </si>
  <si>
    <t>QA Deployment</t>
  </si>
  <si>
    <t>Team assignment</t>
  </si>
  <si>
    <t>Dev Start Date</t>
  </si>
  <si>
    <t>Dev/UT Completion</t>
  </si>
  <si>
    <t>Test cases start</t>
  </si>
  <si>
    <t>Test cases completion</t>
  </si>
  <si>
    <t>QA start</t>
  </si>
  <si>
    <t>QA completion</t>
  </si>
  <si>
    <t>QA Owner</t>
  </si>
  <si>
    <t>PBI</t>
  </si>
  <si>
    <t>CCI - API changes to sync the CCI confirmations existing in Iconfirm</t>
  </si>
  <si>
    <t>CCI - API changes</t>
  </si>
  <si>
    <t>sync confirmations.com, after a while, they disappear from iConfirm, don’t know the frequency</t>
  </si>
  <si>
    <t>CCI - Change the ADFS authentication to AD authentication</t>
  </si>
  <si>
    <t>no description, AC is present, Preeti to work with Harish to get description. Leverage technical discussion email with ADFS. Need to setup call with ADFS</t>
  </si>
  <si>
    <t>Total</t>
  </si>
  <si>
    <t xml:space="preserve">OPM Container Mapping Updates </t>
  </si>
  <si>
    <t>Bolivia, Hungary, Gibraltar</t>
  </si>
  <si>
    <t>[Tech] Update Omnia links</t>
  </si>
  <si>
    <t>no description and no AC, App team to update description, dacpac change</t>
  </si>
  <si>
    <t>Akhila</t>
  </si>
  <si>
    <t>Console App</t>
  </si>
  <si>
    <t>[Cookie management] [Tech] - Implement cookie banner</t>
  </si>
  <si>
    <t xml:space="preserve">[Cookie management] - Provide Cookie Notice page </t>
  </si>
  <si>
    <t>[Cookie management] - Add 'Manage Cookie Preferences' To User Settings</t>
  </si>
  <si>
    <t>[Prod] AME users getting directed to maintenance page</t>
  </si>
  <si>
    <t>across GEOs. Update script. 70 container DBs</t>
  </si>
  <si>
    <t>[Prod] PDF Generation Error</t>
  </si>
  <si>
    <t>dev team to estimate, only AC is present</t>
  </si>
  <si>
    <t>Type</t>
  </si>
  <si>
    <t>Title</t>
  </si>
  <si>
    <t>Action Item</t>
  </si>
  <si>
    <t>Kunal to setup call with ADFS team to get details</t>
  </si>
  <si>
    <t>issues</t>
  </si>
  <si>
    <t>tasks not updated</t>
  </si>
  <si>
    <t>QA Start</t>
  </si>
  <si>
    <t>Hungary container rename</t>
  </si>
  <si>
    <t>Sprint 3</t>
  </si>
  <si>
    <t xml:space="preserve">Cookie project </t>
  </si>
  <si>
    <t>Approved approach for Gibraltar removal</t>
  </si>
  <si>
    <t>bug…830</t>
  </si>
  <si>
    <t>perm fix</t>
  </si>
  <si>
    <t>Enable browser caching of static files to increase performance</t>
  </si>
  <si>
    <t>Vaibhav</t>
  </si>
  <si>
    <t>Ranjit/Anupam</t>
  </si>
  <si>
    <t>UST</t>
  </si>
  <si>
    <t xml:space="preserve">Remove unused code </t>
  </si>
  <si>
    <t>Prathamesh</t>
  </si>
  <si>
    <t>Enable appinsights for cron jobs</t>
  </si>
  <si>
    <t>may not have to implement.</t>
  </si>
  <si>
    <t>Upgrade Racer model to latest version (this library is used for real-time data synchronization)</t>
  </si>
  <si>
    <t>Prasad</t>
  </si>
  <si>
    <t>Implement localization for Template &amp; Country manager screen</t>
  </si>
  <si>
    <t>Functional</t>
  </si>
  <si>
    <t>Bug</t>
  </si>
  <si>
    <t>Project count not updated</t>
  </si>
  <si>
    <t>Scribe\Scribe 5.3.1 Release - Sprint 2</t>
  </si>
  <si>
    <t>dev testing</t>
  </si>
  <si>
    <t>Anupam</t>
  </si>
  <si>
    <t>Ctrl Y and Ctrl Z do not work while editing deliverables</t>
  </si>
  <si>
    <t>Scribe\Scribe 5.3.1 Release - Sprint 1</t>
  </si>
  <si>
    <t>so far not reproducible - as of 01/17</t>
  </si>
  <si>
    <t>Raghu</t>
  </si>
  <si>
    <t>OPM access</t>
  </si>
  <si>
    <t>ADO access</t>
  </si>
  <si>
    <t>https://qscribe.deloitte.com/</t>
  </si>
  <si>
    <t>As the story points represent the overall effort taken by the developers to create a story, the team should estimate the story point concerning all the factors that affect the effort of the developer. These include:</t>
  </si>
  <si>
    <t>The amount of work that has to be done</t>
  </si>
  <si>
    <t>The complexity of the task or work</t>
  </si>
  <si>
    <t>Any uncertainty or risk while doing the work</t>
  </si>
  <si>
    <t>These three factors have major impacts while estimating a story point.</t>
  </si>
  <si>
    <t>Whats followed: Estimation Process of Planning Poker</t>
  </si>
  <si>
    <t>T-shirt sizing method</t>
  </si>
  <si>
    <t>SP</t>
  </si>
  <si>
    <t>Complexity</t>
  </si>
  <si>
    <t>Tentative</t>
  </si>
  <si>
    <r>
      <t>​</t>
    </r>
    <r>
      <rPr>
        <b/>
        <sz val="10"/>
        <color rgb="FFFFFFFF"/>
        <rFont val="Verdana"/>
        <family val="2"/>
      </rPr>
      <t>Story Points</t>
    </r>
  </si>
  <si>
    <r>
      <t>​</t>
    </r>
    <r>
      <rPr>
        <b/>
        <sz val="10"/>
        <color rgb="FFFFFFFF"/>
        <rFont val="Verdana"/>
        <family val="2"/>
      </rPr>
      <t>Time Frame</t>
    </r>
  </si>
  <si>
    <r>
      <t>​</t>
    </r>
    <r>
      <rPr>
        <b/>
        <sz val="10"/>
        <color rgb="FFFFFFFF"/>
        <rFont val="Verdana"/>
        <family val="2"/>
      </rPr>
      <t>Example</t>
    </r>
  </si>
  <si>
    <t>hr</t>
  </si>
  <si>
    <t>assumption</t>
  </si>
  <si>
    <t>X-Small</t>
  </si>
  <si>
    <t>very simple</t>
  </si>
  <si>
    <t>4–12 hours</t>
  </si>
  <si>
    <r>
      <t>​</t>
    </r>
    <r>
      <rPr>
        <sz val="10"/>
        <color rgb="FF676767"/>
        <rFont val="Verdana"/>
        <family val="2"/>
      </rPr>
      <t>4 ideal hours</t>
    </r>
  </si>
  <si>
    <t>Changing text on a label</t>
  </si>
  <si>
    <t>6 hrs/day</t>
  </si>
  <si>
    <t>7 hrs/day</t>
  </si>
  <si>
    <t>Small</t>
  </si>
  <si>
    <t>simple</t>
  </si>
  <si>
    <t>10–20 hours</t>
  </si>
  <si>
    <r>
      <t>​</t>
    </r>
    <r>
      <rPr>
        <b/>
        <sz val="10"/>
        <color rgb="FF676767"/>
        <rFont val="Verdana"/>
        <family val="2"/>
      </rPr>
      <t>2</t>
    </r>
  </si>
  <si>
    <r>
      <t>2-3</t>
    </r>
    <r>
      <rPr>
        <sz val="10"/>
        <color rgb="FF676767"/>
        <rFont val="Verdana"/>
        <family val="2"/>
      </rPr>
      <t xml:space="preserve"> days, may require testing</t>
    </r>
  </si>
  <si>
    <r>
      <t>​</t>
    </r>
    <r>
      <rPr>
        <sz val="10"/>
        <color rgb="FF676767"/>
        <rFont val="Verdana"/>
        <family val="2"/>
      </rPr>
      <t xml:space="preserve">Adding a new field </t>
    </r>
  </si>
  <si>
    <t>12 to 18</t>
  </si>
  <si>
    <t>14 to 21</t>
  </si>
  <si>
    <t>Medium</t>
  </si>
  <si>
    <t>medium</t>
  </si>
  <si>
    <t>18-25 hours</t>
  </si>
  <si>
    <r>
      <t>​</t>
    </r>
    <r>
      <rPr>
        <b/>
        <sz val="10"/>
        <color rgb="FF676767"/>
        <rFont val="Verdana"/>
        <family val="2"/>
      </rPr>
      <t>3</t>
    </r>
  </si>
  <si>
    <r>
      <t>4</t>
    </r>
    <r>
      <rPr>
        <sz val="10"/>
        <color rgb="FF676767"/>
        <rFont val="Verdana"/>
        <family val="2"/>
      </rPr>
      <t xml:space="preserve"> days for 1 person</t>
    </r>
  </si>
  <si>
    <r>
      <t>​</t>
    </r>
    <r>
      <rPr>
        <sz val="10"/>
        <color rgb="FF676767"/>
        <rFont val="Verdana"/>
        <family val="2"/>
      </rPr>
      <t>Adding a new field that may appear in a few places within the application</t>
    </r>
  </si>
  <si>
    <t>Large</t>
  </si>
  <si>
    <t>complex</t>
  </si>
  <si>
    <t>25-40 hours</t>
  </si>
  <si>
    <r>
      <t>​</t>
    </r>
    <r>
      <rPr>
        <b/>
        <sz val="10"/>
        <color rgb="FF676767"/>
        <rFont val="Verdana"/>
        <family val="2"/>
      </rPr>
      <t>5</t>
    </r>
  </si>
  <si>
    <t>5 days for 1 person</t>
  </si>
  <si>
    <r>
      <t>​</t>
    </r>
    <r>
      <rPr>
        <sz val="10"/>
        <color rgb="FF676767"/>
        <rFont val="Verdana"/>
        <family val="2"/>
      </rPr>
      <t>Design and adding a section to an existing page</t>
    </r>
  </si>
  <si>
    <t>30 to 40</t>
  </si>
  <si>
    <t>35 to 40</t>
  </si>
  <si>
    <t>Extra-Large</t>
  </si>
  <si>
    <t>Very Complex</t>
  </si>
  <si>
    <t>35-65 hours</t>
  </si>
  <si>
    <r>
      <t>​</t>
    </r>
    <r>
      <rPr>
        <b/>
        <sz val="10"/>
        <color rgb="FF676767"/>
        <rFont val="Verdana"/>
        <family val="2"/>
      </rPr>
      <t>8</t>
    </r>
  </si>
  <si>
    <r>
      <t>10</t>
    </r>
    <r>
      <rPr>
        <sz val="10"/>
        <color rgb="FF676767"/>
        <rFont val="Verdana"/>
        <family val="2"/>
      </rPr>
      <t xml:space="preserve"> days for 1 person </t>
    </r>
  </si>
  <si>
    <t>Design and add a new basic page</t>
  </si>
  <si>
    <t>&gt; 40</t>
  </si>
  <si>
    <t>XXL</t>
  </si>
  <si>
    <t>Very Very Complex</t>
  </si>
  <si>
    <t>60-90 hours</t>
  </si>
  <si>
    <r>
      <t>​</t>
    </r>
    <r>
      <rPr>
        <b/>
        <sz val="10"/>
        <color rgb="FF676767"/>
        <rFont val="Verdana"/>
        <family val="2"/>
      </rPr>
      <t>13</t>
    </r>
  </si>
  <si>
    <r>
      <t>​</t>
    </r>
    <r>
      <rPr>
        <sz val="10"/>
        <color rgb="FF676767"/>
        <rFont val="Verdana"/>
        <family val="2"/>
      </rPr>
      <t>15 days for 1 person</t>
    </r>
  </si>
  <si>
    <t>Avoid this, try to break it down</t>
  </si>
  <si>
    <r>
      <t>​</t>
    </r>
    <r>
      <rPr>
        <b/>
        <sz val="10"/>
        <color rgb="FF676767"/>
        <rFont val="Verdana"/>
        <family val="2"/>
      </rPr>
      <t>20</t>
    </r>
  </si>
  <si>
    <t>1 month for 1 person</t>
  </si>
  <si>
    <t>​Way too big to be included in a sprint, break it down</t>
  </si>
  <si>
    <r>
      <t>​</t>
    </r>
    <r>
      <rPr>
        <b/>
        <sz val="10"/>
        <color rgb="FF676767"/>
        <rFont val="Verdana"/>
        <family val="2"/>
      </rPr>
      <t>40</t>
    </r>
  </si>
  <si>
    <t>2 months for 1 person</t>
  </si>
  <si>
    <t>Way too big to be included in a sprint, break it down</t>
  </si>
  <si>
    <t>Enhancement POD</t>
  </si>
  <si>
    <t>Role</t>
  </si>
  <si>
    <t>Dev</t>
  </si>
  <si>
    <t>QA</t>
  </si>
  <si>
    <t>estimates to be revised, description is missing</t>
  </si>
  <si>
    <t>Owner</t>
  </si>
  <si>
    <t>Kunal</t>
  </si>
  <si>
    <t>Marrisa</t>
  </si>
  <si>
    <t>State</t>
  </si>
  <si>
    <t>Assigned To</t>
  </si>
  <si>
    <t>Remaining Work</t>
  </si>
  <si>
    <t>Effort</t>
  </si>
  <si>
    <t>[Prod] EMA Mailbox sync issues</t>
  </si>
  <si>
    <t>Committed</t>
  </si>
  <si>
    <t>Vineeth Paul Geever</t>
  </si>
  <si>
    <t>iConfirm\iConfirm 9.1.2 Release\iConfirm 9.1.2 Release - Sprint 3</t>
  </si>
  <si>
    <t>[Prod] PDF attachments in emails synced in Iconfirm are not visible</t>
  </si>
  <si>
    <t>Parnapalli Naresh</t>
  </si>
  <si>
    <t>[Prod] Email not syncing to Project Inbox</t>
  </si>
  <si>
    <t>[Prod] Console App Utility</t>
  </si>
  <si>
    <t>[Prod] Iconfirm INC4574249 : Maintenance page</t>
  </si>
  <si>
    <t>Done</t>
  </si>
  <si>
    <t>Harish Kumar Anagandula</t>
  </si>
  <si>
    <t>Iconfirm - remove a domain from restricted list</t>
  </si>
  <si>
    <t>Antra Lnu</t>
  </si>
  <si>
    <t>Iconfirm - Mailbox requires rename -9th Feb</t>
  </si>
  <si>
    <t>[Prod] Iconfirm - Automated set reminders not sending</t>
  </si>
  <si>
    <t>Dolly Kumari</t>
  </si>
  <si>
    <t>[Tech] Investigate the reason for locking during bulk inserts</t>
  </si>
  <si>
    <t>Open as query</t>
  </si>
  <si>
    <t>new PBI to track</t>
  </si>
  <si>
    <t>awaiting pripiritization</t>
  </si>
  <si>
    <t>Preeti should create PBI</t>
  </si>
  <si>
    <t>screen getting stuck when confirmation is sent. Deadlock issue, team found indexes missing, blocker is gone, indexes are in prod, from Jan start issue not reproducible, too many open connections though, based on bandwidth team can analyze</t>
  </si>
  <si>
    <t>ON HOLD</t>
  </si>
  <si>
    <t>1. mailboxes are not syncing: there is a job that runs every 10 mins to check if there is new email to sync in DB so that it is visible in iConfirm. If each GEO has 100+projects, EMA has issue, every few hrs we get email that mailbox is syncing
2. emails are missing from Inbox: mailbox has an attachment, we fetch data from outlook, download encrypted attachment, and save in DB, not getting saved in DB, emails not seen in iConfirm, not related to size, DB load</t>
  </si>
  <si>
    <t>may be failing because of attachment</t>
  </si>
  <si>
    <t>Console App: query emailbox, fetch attachment, try to encrpt and save to DB</t>
  </si>
  <si>
    <t>addressed by Consle app</t>
  </si>
  <si>
    <t>partial solution in Feb release. End point URL. EWS team has given end points, end points are old and they missed to inform about new URLs. In stage its implemented. Only regression is done. Specific to EMA
Pending stuff: Rishi grouped frequently occuring issues, EWS service is throwing errors, need to analyze</t>
  </si>
  <si>
    <t>Preeti</t>
  </si>
  <si>
    <t>QA activities</t>
  </si>
  <si>
    <t>Naresh</t>
  </si>
  <si>
    <t>Diptesh</t>
  </si>
  <si>
    <t>Harish</t>
  </si>
  <si>
    <t>Dolly</t>
  </si>
  <si>
    <t>?</t>
  </si>
  <si>
    <t>dev in progress, app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</si>
</sst>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8"/>
      <color rgb="FF7A7A7A"/>
      <name val="Open Sans"/>
      <family val="2"/>
    </font>
    <font>
      <b/>
      <sz val="10"/>
      <color rgb="FFFFFFFF"/>
      <name val="Arial"/>
      <family val="2"/>
    </font>
    <font>
      <b/>
      <sz val="10"/>
      <color rgb="FFFFFFFF"/>
      <name val="Verdana"/>
      <family val="2"/>
    </font>
    <font>
      <b/>
      <sz val="10"/>
      <color rgb="FF676767"/>
      <name val="Verdana"/>
      <family val="2"/>
    </font>
    <font>
      <sz val="10"/>
      <color rgb="FF676767"/>
      <name val="Arial"/>
      <family val="2"/>
    </font>
    <font>
      <sz val="10"/>
      <color rgb="FF676767"/>
      <name val="Verdana"/>
      <family val="2"/>
    </font>
    <font>
      <b/>
      <sz val="10"/>
      <color rgb="FF676767"/>
      <name val="Arial"/>
      <family val="2"/>
    </font>
    <font>
      <sz val="10"/>
      <color rgb="FFFA0000"/>
      <name val="Verdana"/>
      <family val="2"/>
    </font>
    <font>
      <sz val="10"/>
      <color rgb="FFFA0000"/>
      <name val="Arial"/>
      <family val="2"/>
    </font>
    <font>
      <u/>
      <sz val="11"/>
      <color theme="10"/>
      <name val="Calibri"/>
      <family val="2"/>
      <scheme val="minor"/>
    </font>
    <font>
      <b/>
      <sz val="11"/>
      <color theme="1"/>
      <name val="Calibri"/>
      <family val="2"/>
      <scheme val="minor"/>
    </font>
    <font>
      <sz val="11"/>
      <color rgb="FFFF0000"/>
      <name val="Calibri"/>
      <family val="2"/>
      <scheme val="minor"/>
    </font>
    <font>
      <sz val="11"/>
      <color theme="1"/>
      <name val="Calibri"/>
      <family val="2"/>
    </font>
    <font>
      <b/>
      <sz val="11"/>
      <color rgb="FFFF0000"/>
      <name val="Calibri"/>
      <family val="2"/>
      <scheme val="minor"/>
    </font>
  </fonts>
  <fills count="12">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262626"/>
        <bgColor indexed="64"/>
      </patternFill>
    </fill>
    <fill>
      <patternFill patternType="solid">
        <fgColor rgb="FFFFFFFF"/>
        <bgColor indexed="64"/>
      </patternFill>
    </fill>
    <fill>
      <patternFill patternType="solid">
        <fgColor rgb="FFFDF2AD"/>
        <bgColor indexed="64"/>
      </patternFill>
    </fill>
    <fill>
      <patternFill patternType="solid">
        <fgColor rgb="FFFEE599"/>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A3A3A3"/>
      </left>
      <right style="medium">
        <color rgb="FFA3A3A3"/>
      </right>
      <top style="medium">
        <color rgb="FFA3A3A3"/>
      </top>
      <bottom/>
      <diagonal/>
    </border>
    <border>
      <left/>
      <right style="medium">
        <color rgb="FFA3A3A3"/>
      </right>
      <top style="medium">
        <color rgb="FFA3A3A3"/>
      </top>
      <bottom/>
      <diagonal/>
    </border>
    <border>
      <left/>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s>
  <cellStyleXfs count="2">
    <xf numFmtId="0" fontId="0" fillId="0" borderId="0"/>
    <xf numFmtId="0" fontId="10" fillId="0" borderId="0" applyNumberFormat="0" applyFill="0" applyBorder="0" applyAlignment="0" applyProtection="0"/>
  </cellStyleXfs>
  <cellXfs count="64">
    <xf numFmtId="0" fontId="0" fillId="0" borderId="0" xfId="0"/>
    <xf numFmtId="0" fontId="0" fillId="2" borderId="1" xfId="0" applyFill="1" applyBorder="1" applyAlignment="1">
      <alignment wrapText="1"/>
    </xf>
    <xf numFmtId="0" fontId="0" fillId="0" borderId="1" xfId="0" applyBorder="1" applyAlignment="1">
      <alignment wrapText="1"/>
    </xf>
    <xf numFmtId="0" fontId="0" fillId="0" borderId="0" xfId="0" applyAlignment="1">
      <alignment wrapText="1"/>
    </xf>
    <xf numFmtId="0" fontId="0" fillId="0" borderId="1" xfId="0" applyBorder="1"/>
    <xf numFmtId="0" fontId="0" fillId="0" borderId="1" xfId="0" applyBorder="1" applyAlignment="1">
      <alignment horizontal="left" vertical="top" wrapText="1"/>
    </xf>
    <xf numFmtId="16" fontId="0" fillId="0" borderId="1" xfId="0" applyNumberFormat="1" applyBorder="1"/>
    <xf numFmtId="0" fontId="1" fillId="0" borderId="0" xfId="0" applyFont="1" applyAlignment="1">
      <alignment horizontal="justify" vertical="center"/>
    </xf>
    <xf numFmtId="0" fontId="0" fillId="0" borderId="0" xfId="0" applyAlignment="1">
      <alignment horizontal="justify" vertical="center"/>
    </xf>
    <xf numFmtId="0" fontId="1" fillId="0" borderId="1" xfId="0" applyFont="1" applyBorder="1"/>
    <xf numFmtId="0" fontId="2" fillId="5" borderId="4" xfId="0" applyFont="1" applyFill="1" applyBorder="1" applyAlignment="1">
      <alignment vertical="center" wrapText="1"/>
    </xf>
    <xf numFmtId="0" fontId="2" fillId="5" borderId="5" xfId="0" applyFont="1" applyFill="1" applyBorder="1" applyAlignment="1">
      <alignment vertical="center" wrapText="1"/>
    </xf>
    <xf numFmtId="0" fontId="2" fillId="5" borderId="0" xfId="0" applyFont="1" applyFill="1" applyAlignment="1">
      <alignment vertical="center" wrapText="1"/>
    </xf>
    <xf numFmtId="0" fontId="4" fillId="6" borderId="1" xfId="0" applyFont="1" applyFill="1" applyBorder="1" applyAlignment="1">
      <alignment horizontal="left" vertical="top" wrapText="1"/>
    </xf>
    <xf numFmtId="0" fontId="5" fillId="6" borderId="1" xfId="0" applyFont="1" applyFill="1" applyBorder="1" applyAlignment="1">
      <alignment vertical="center" wrapText="1"/>
    </xf>
    <xf numFmtId="0" fontId="6" fillId="6" borderId="1" xfId="0" applyFont="1" applyFill="1" applyBorder="1" applyAlignment="1">
      <alignment vertical="center" wrapText="1"/>
    </xf>
    <xf numFmtId="0" fontId="0" fillId="0" borderId="1" xfId="0" applyBorder="1" applyAlignment="1">
      <alignment horizontal="left" vertical="top"/>
    </xf>
    <xf numFmtId="0" fontId="7" fillId="6" borderId="1" xfId="0" applyFont="1" applyFill="1" applyBorder="1" applyAlignment="1">
      <alignment horizontal="left" vertical="top" wrapText="1"/>
    </xf>
    <xf numFmtId="16" fontId="0" fillId="0" borderId="1" xfId="0" applyNumberFormat="1" applyBorder="1" applyAlignment="1">
      <alignment horizontal="left" vertical="top"/>
    </xf>
    <xf numFmtId="0" fontId="8" fillId="7" borderId="1" xfId="0" applyFont="1" applyFill="1" applyBorder="1" applyAlignment="1">
      <alignment vertical="center" wrapText="1"/>
    </xf>
    <xf numFmtId="0" fontId="9" fillId="8" borderId="1" xfId="0" applyFont="1" applyFill="1" applyBorder="1" applyAlignment="1">
      <alignment vertical="center" wrapText="1"/>
    </xf>
    <xf numFmtId="0" fontId="10" fillId="6" borderId="1" xfId="1" applyFill="1" applyBorder="1" applyAlignment="1">
      <alignment vertical="top" wrapText="1"/>
    </xf>
    <xf numFmtId="0" fontId="0" fillId="6" borderId="1" xfId="0" applyFill="1" applyBorder="1" applyAlignment="1">
      <alignment vertical="top" wrapText="1"/>
    </xf>
    <xf numFmtId="0" fontId="0" fillId="9" borderId="1" xfId="0" applyFill="1" applyBorder="1"/>
    <xf numFmtId="0" fontId="0" fillId="0" borderId="3" xfId="0" applyBorder="1"/>
    <xf numFmtId="0" fontId="10" fillId="9" borderId="1" xfId="1" applyFill="1" applyBorder="1" applyAlignment="1">
      <alignment vertical="top" wrapText="1"/>
    </xf>
    <xf numFmtId="0" fontId="0" fillId="9" borderId="1" xfId="0" applyFill="1" applyBorder="1" applyAlignment="1">
      <alignment horizontal="left" vertical="top" wrapText="1"/>
    </xf>
    <xf numFmtId="16" fontId="0" fillId="9" borderId="1" xfId="0" applyNumberFormat="1" applyFill="1" applyBorder="1"/>
    <xf numFmtId="0" fontId="0" fillId="3" borderId="1" xfId="0" applyFill="1" applyBorder="1" applyAlignment="1">
      <alignment horizontal="left" vertical="top"/>
    </xf>
    <xf numFmtId="0" fontId="0" fillId="0" borderId="0" xfId="0" applyAlignment="1">
      <alignment horizontal="left" vertical="top"/>
    </xf>
    <xf numFmtId="0" fontId="0" fillId="2" borderId="1" xfId="0" applyFill="1" applyBorder="1" applyAlignment="1">
      <alignment horizontal="left" vertical="top"/>
    </xf>
    <xf numFmtId="0" fontId="0" fillId="4" borderId="1" xfId="0" applyFill="1" applyBorder="1" applyAlignment="1">
      <alignment horizontal="left" vertical="top"/>
    </xf>
    <xf numFmtId="0" fontId="0" fillId="4" borderId="0" xfId="0" applyFill="1" applyAlignment="1">
      <alignment horizontal="left" vertical="top"/>
    </xf>
    <xf numFmtId="0" fontId="0" fillId="10" borderId="0" xfId="0" applyFill="1" applyAlignment="1">
      <alignment horizontal="left" vertical="top"/>
    </xf>
    <xf numFmtId="0" fontId="0" fillId="2" borderId="6" xfId="0" applyFill="1" applyBorder="1" applyAlignment="1">
      <alignment vertical="top"/>
    </xf>
    <xf numFmtId="0" fontId="13" fillId="0" borderId="1" xfId="0" applyFont="1" applyBorder="1" applyAlignment="1">
      <alignment vertical="center" wrapText="1"/>
    </xf>
    <xf numFmtId="0" fontId="0" fillId="6" borderId="1" xfId="0" applyFill="1" applyBorder="1" applyAlignment="1">
      <alignment vertical="top"/>
    </xf>
    <xf numFmtId="0" fontId="12" fillId="0" borderId="1" xfId="0" applyFont="1" applyBorder="1"/>
    <xf numFmtId="0" fontId="12" fillId="6" borderId="1" xfId="0" applyFont="1" applyFill="1" applyBorder="1" applyAlignment="1">
      <alignment vertical="top"/>
    </xf>
    <xf numFmtId="0" fontId="11" fillId="0" borderId="1" xfId="0" applyFont="1" applyBorder="1"/>
    <xf numFmtId="0" fontId="11" fillId="0" borderId="1" xfId="0" applyFont="1" applyBorder="1" applyAlignment="1">
      <alignment horizontal="left" vertical="top"/>
    </xf>
    <xf numFmtId="0" fontId="0" fillId="11" borderId="8" xfId="0" applyFill="1" applyBorder="1" applyAlignment="1">
      <alignment horizontal="center" vertical="center"/>
    </xf>
    <xf numFmtId="0" fontId="14" fillId="0" borderId="1" xfId="0" applyFont="1" applyBorder="1"/>
    <xf numFmtId="0" fontId="12" fillId="0" borderId="1" xfId="0" applyFont="1" applyBorder="1" applyAlignment="1">
      <alignment horizontal="left" vertical="top" wrapText="1"/>
    </xf>
    <xf numFmtId="0" fontId="12" fillId="0" borderId="1" xfId="0" applyFont="1" applyBorder="1" applyAlignment="1">
      <alignment wrapText="1"/>
    </xf>
    <xf numFmtId="0" fontId="11" fillId="0" borderId="0" xfId="0" applyFont="1"/>
    <xf numFmtId="0" fontId="0" fillId="10" borderId="7" xfId="0" applyFill="1" applyBorder="1" applyAlignment="1">
      <alignment horizontal="left" vertical="top"/>
    </xf>
    <xf numFmtId="0" fontId="0" fillId="10" borderId="0" xfId="0" applyFill="1" applyAlignment="1">
      <alignment horizontal="left" vertical="top"/>
    </xf>
    <xf numFmtId="0" fontId="0" fillId="2" borderId="6" xfId="0"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1" xfId="0" applyFill="1" applyBorder="1" applyAlignment="1">
      <alignment horizontal="left" vertical="top"/>
    </xf>
    <xf numFmtId="0" fontId="0" fillId="0" borderId="9" xfId="0" applyFill="1" applyBorder="1"/>
    <xf numFmtId="0" fontId="0" fillId="0" borderId="0" xfId="0" applyAlignment="1">
      <alignment vertical="center" wrapText="1"/>
    </xf>
    <xf numFmtId="0" fontId="10" fillId="0" borderId="0" xfId="1" applyAlignment="1">
      <alignment vertical="center" wrapText="1"/>
    </xf>
    <xf numFmtId="0" fontId="11" fillId="6" borderId="1" xfId="0" applyFont="1" applyFill="1" applyBorder="1" applyAlignment="1">
      <alignment horizontal="center" vertical="top" wrapText="1"/>
    </xf>
    <xf numFmtId="0" fontId="0" fillId="0" borderId="0" xfId="0" applyBorder="1"/>
    <xf numFmtId="0" fontId="12" fillId="0" borderId="0" xfId="0" applyFont="1" applyBorder="1"/>
    <xf numFmtId="0" fontId="12" fillId="6" borderId="0" xfId="0" applyFont="1" applyFill="1" applyBorder="1" applyAlignment="1">
      <alignment vertical="top"/>
    </xf>
    <xf numFmtId="16" fontId="12" fillId="0" borderId="0" xfId="0" applyNumberFormat="1" applyFont="1" applyBorder="1"/>
    <xf numFmtId="16" fontId="0" fillId="0" borderId="0" xfId="0" applyNumberFormat="1" applyBorder="1"/>
    <xf numFmtId="0" fontId="0" fillId="9" borderId="1" xfId="0" applyFill="1" applyBorder="1" applyAlignment="1">
      <alignment vertical="top" wrapText="1"/>
    </xf>
    <xf numFmtId="0" fontId="0" fillId="9" borderId="0" xfId="0" applyFill="1"/>
    <xf numFmtId="0" fontId="11"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ymphonyvsts.visualstudio.com/iConfirm/_workitems/edit/186385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symphonyvsts.visualstudio.com/iConfirm/_workitems/edit/1882710" TargetMode="External"/><Relationship Id="rId3" Type="http://schemas.openxmlformats.org/officeDocument/2006/relationships/hyperlink" Target="https://symphonyvsts.visualstudio.com/iConfirm/_workitems/edit/1892914" TargetMode="External"/><Relationship Id="rId7" Type="http://schemas.openxmlformats.org/officeDocument/2006/relationships/hyperlink" Target="https://symphonyvsts.visualstudio.com/iConfirm/_workitems/edit/1901285" TargetMode="External"/><Relationship Id="rId2" Type="http://schemas.openxmlformats.org/officeDocument/2006/relationships/hyperlink" Target="https://symphonyvsts.visualstudio.com/iConfirm/_workitems/edit/1876925" TargetMode="External"/><Relationship Id="rId1" Type="http://schemas.openxmlformats.org/officeDocument/2006/relationships/hyperlink" Target="https://symphonyvsts.visualstudio.com/iConfirm/_workitems/edit/1863854" TargetMode="External"/><Relationship Id="rId6" Type="http://schemas.openxmlformats.org/officeDocument/2006/relationships/hyperlink" Target="https://symphonyvsts.visualstudio.com/iConfirm/_workitems/edit/1896188" TargetMode="External"/><Relationship Id="rId5" Type="http://schemas.openxmlformats.org/officeDocument/2006/relationships/hyperlink" Target="https://symphonyvsts.visualstudio.com/iConfirm/_workitems/edit/1899374" TargetMode="External"/><Relationship Id="rId10" Type="http://schemas.openxmlformats.org/officeDocument/2006/relationships/hyperlink" Target="https://symphonyvsts.visualstudio.com/iConfirm/_queries?tempQueryId=a76454ce-1a8c-4299-b9de-d2533f8aad6c" TargetMode="External"/><Relationship Id="rId4" Type="http://schemas.openxmlformats.org/officeDocument/2006/relationships/hyperlink" Target="https://symphonyvsts.visualstudio.com/iConfirm/_workitems/edit/1898950" TargetMode="External"/><Relationship Id="rId9" Type="http://schemas.openxmlformats.org/officeDocument/2006/relationships/hyperlink" Target="https://symphonyvsts.visualstudio.com/iConfirm/_workitems/edit/1854596"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symphonyvsts.visualstudio.com/iConfirm/_workitems/edit/1898950"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symphonyvsts.visualstudio.com/Scribe/_workitems/edit/1854752" TargetMode="External"/><Relationship Id="rId1" Type="http://schemas.openxmlformats.org/officeDocument/2006/relationships/hyperlink" Target="https://symphonyvsts.visualstudio.com/Scribe/_workitems/edit/1857138"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F7E41-7912-422E-968D-D1F96A8F720F}">
  <dimension ref="A1:I172"/>
  <sheetViews>
    <sheetView topLeftCell="A60" zoomScale="98" workbookViewId="0">
      <selection activeCell="C75" sqref="C75"/>
    </sheetView>
  </sheetViews>
  <sheetFormatPr defaultRowHeight="14.5" x14ac:dyDescent="0.35"/>
  <cols>
    <col min="1" max="1" width="22.54296875" customWidth="1"/>
    <col min="2" max="2" width="12.1796875" bestFit="1" customWidth="1"/>
    <col min="3" max="3" width="18.81640625" bestFit="1" customWidth="1"/>
    <col min="4" max="4" width="17.54296875" bestFit="1" customWidth="1"/>
    <col min="5" max="5" width="19" bestFit="1" customWidth="1"/>
    <col min="6" max="6" width="22.453125" bestFit="1" customWidth="1"/>
    <col min="7" max="7" width="14.453125" customWidth="1"/>
    <col min="8" max="8" width="17.81640625" bestFit="1" customWidth="1"/>
    <col min="9" max="9" width="37.08984375" customWidth="1"/>
  </cols>
  <sheetData>
    <row r="1" spans="1:9" x14ac:dyDescent="0.35">
      <c r="A1" s="48" t="s">
        <v>0</v>
      </c>
      <c r="B1" s="48"/>
      <c r="C1" s="48"/>
      <c r="D1" s="48"/>
      <c r="E1" s="48"/>
      <c r="F1" s="48"/>
      <c r="G1" s="48"/>
      <c r="H1" s="48"/>
      <c r="I1" s="48"/>
    </row>
    <row r="2" spans="1:9" x14ac:dyDescent="0.35">
      <c r="A2" s="16" t="s">
        <v>1</v>
      </c>
      <c r="B2" s="16" t="s">
        <v>2</v>
      </c>
      <c r="C2" s="16" t="s">
        <v>3</v>
      </c>
      <c r="D2" s="16" t="s">
        <v>4</v>
      </c>
      <c r="E2" s="16" t="s">
        <v>5</v>
      </c>
      <c r="F2" s="16" t="s">
        <v>6</v>
      </c>
      <c r="G2" s="16" t="s">
        <v>7</v>
      </c>
      <c r="H2" s="16" t="s">
        <v>8</v>
      </c>
      <c r="I2" s="16" t="s">
        <v>9</v>
      </c>
    </row>
    <row r="3" spans="1:9" ht="29" x14ac:dyDescent="0.35">
      <c r="A3" s="35" t="s">
        <v>10</v>
      </c>
      <c r="B3" s="16">
        <v>6</v>
      </c>
      <c r="C3" s="16">
        <f>B3*I3</f>
        <v>48</v>
      </c>
      <c r="D3" s="16">
        <v>10</v>
      </c>
      <c r="E3" s="16">
        <v>1</v>
      </c>
      <c r="F3" s="16">
        <v>0</v>
      </c>
      <c r="G3" s="16">
        <v>0</v>
      </c>
      <c r="H3" s="16">
        <v>1</v>
      </c>
      <c r="I3" s="16">
        <f>D3-E3-F3-G3-H3</f>
        <v>8</v>
      </c>
    </row>
    <row r="4" spans="1:9" x14ac:dyDescent="0.35">
      <c r="A4" s="35" t="s">
        <v>11</v>
      </c>
      <c r="B4" s="16">
        <v>0</v>
      </c>
      <c r="C4" s="16">
        <f>B4*I4</f>
        <v>0</v>
      </c>
      <c r="D4" s="16">
        <v>10</v>
      </c>
      <c r="E4" s="16">
        <v>1</v>
      </c>
      <c r="F4" s="16">
        <v>0</v>
      </c>
      <c r="G4" s="16">
        <v>0</v>
      </c>
      <c r="H4" s="16">
        <v>0</v>
      </c>
      <c r="I4" s="16">
        <f t="shared" ref="I4:I7" si="0">D4-E4-F4-G4-H4</f>
        <v>9</v>
      </c>
    </row>
    <row r="5" spans="1:9" x14ac:dyDescent="0.35">
      <c r="A5" s="35" t="s">
        <v>12</v>
      </c>
      <c r="B5" s="16">
        <v>8</v>
      </c>
      <c r="C5" s="16">
        <f t="shared" ref="C5:C7" si="1">B5*I5</f>
        <v>72</v>
      </c>
      <c r="D5" s="16">
        <v>10</v>
      </c>
      <c r="E5" s="16">
        <v>1</v>
      </c>
      <c r="F5" s="16">
        <v>0</v>
      </c>
      <c r="G5" s="16">
        <v>0</v>
      </c>
      <c r="H5" s="16">
        <v>0</v>
      </c>
      <c r="I5" s="16">
        <f t="shared" si="0"/>
        <v>9</v>
      </c>
    </row>
    <row r="6" spans="1:9" x14ac:dyDescent="0.35">
      <c r="A6" s="35" t="s">
        <v>13</v>
      </c>
      <c r="B6" s="16">
        <v>0</v>
      </c>
      <c r="C6" s="16">
        <f t="shared" si="1"/>
        <v>0</v>
      </c>
      <c r="D6" s="16">
        <v>10</v>
      </c>
      <c r="E6" s="16">
        <v>1</v>
      </c>
      <c r="F6" s="16">
        <v>0</v>
      </c>
      <c r="G6" s="16">
        <v>0</v>
      </c>
      <c r="H6" s="16">
        <v>0</v>
      </c>
      <c r="I6" s="16">
        <f t="shared" si="0"/>
        <v>9</v>
      </c>
    </row>
    <row r="7" spans="1:9" x14ac:dyDescent="0.35">
      <c r="A7" s="35" t="s">
        <v>14</v>
      </c>
      <c r="B7" s="16">
        <v>8</v>
      </c>
      <c r="C7" s="16">
        <f t="shared" si="1"/>
        <v>72</v>
      </c>
      <c r="D7" s="16">
        <v>10</v>
      </c>
      <c r="E7" s="16">
        <v>1</v>
      </c>
      <c r="F7" s="16">
        <v>0</v>
      </c>
      <c r="G7" s="16">
        <v>0</v>
      </c>
      <c r="H7" s="16">
        <v>0</v>
      </c>
      <c r="I7" s="16">
        <f t="shared" si="0"/>
        <v>9</v>
      </c>
    </row>
    <row r="8" spans="1:9" x14ac:dyDescent="0.35">
      <c r="A8" s="35" t="s">
        <v>15</v>
      </c>
      <c r="B8" s="16">
        <v>8</v>
      </c>
      <c r="C8" s="16">
        <f t="shared" ref="C8:C9" si="2">B8*I8</f>
        <v>72</v>
      </c>
      <c r="D8" s="16">
        <v>10</v>
      </c>
      <c r="E8" s="16">
        <v>1</v>
      </c>
      <c r="F8" s="16">
        <v>0</v>
      </c>
      <c r="G8" s="16">
        <v>0</v>
      </c>
      <c r="H8" s="16">
        <v>0</v>
      </c>
      <c r="I8" s="16">
        <f t="shared" ref="I8:I9" si="3">D8-E8-F8-G8-H8</f>
        <v>9</v>
      </c>
    </row>
    <row r="9" spans="1:9" x14ac:dyDescent="0.35">
      <c r="A9" s="35" t="s">
        <v>16</v>
      </c>
      <c r="B9" s="16">
        <v>8</v>
      </c>
      <c r="C9" s="16">
        <f t="shared" si="2"/>
        <v>72</v>
      </c>
      <c r="D9" s="16">
        <v>10</v>
      </c>
      <c r="E9" s="16">
        <v>1</v>
      </c>
      <c r="F9" s="16">
        <v>0</v>
      </c>
      <c r="G9" s="16">
        <v>0</v>
      </c>
      <c r="H9" s="16">
        <v>0</v>
      </c>
      <c r="I9" s="16">
        <f t="shared" si="3"/>
        <v>9</v>
      </c>
    </row>
    <row r="10" spans="1:9" x14ac:dyDescent="0.35">
      <c r="B10" s="16"/>
      <c r="C10" s="16"/>
      <c r="D10" s="29"/>
      <c r="E10" s="29"/>
      <c r="F10" s="29"/>
      <c r="G10" s="29"/>
      <c r="H10" s="29"/>
      <c r="I10" s="29"/>
    </row>
    <row r="11" spans="1:9" x14ac:dyDescent="0.35">
      <c r="B11" s="16"/>
      <c r="C11" s="16"/>
      <c r="D11" s="29"/>
      <c r="E11" s="29"/>
      <c r="F11" s="29"/>
      <c r="G11" s="29"/>
      <c r="H11" s="29"/>
      <c r="I11" s="29"/>
    </row>
    <row r="12" spans="1:9" x14ac:dyDescent="0.35">
      <c r="A12" s="16"/>
      <c r="B12" s="16"/>
      <c r="C12" s="16"/>
      <c r="D12" s="29"/>
      <c r="E12" s="29"/>
      <c r="F12" s="29"/>
      <c r="G12" s="29"/>
      <c r="H12" s="29"/>
      <c r="I12" s="29"/>
    </row>
    <row r="13" spans="1:9" x14ac:dyDescent="0.35">
      <c r="A13" s="28" t="s">
        <v>17</v>
      </c>
      <c r="B13" s="28"/>
      <c r="C13" s="28">
        <f>SUM(C3:C9)</f>
        <v>336</v>
      </c>
      <c r="D13" s="29"/>
      <c r="E13" s="29"/>
      <c r="F13" s="40" t="s">
        <v>18</v>
      </c>
      <c r="G13" s="40" t="s">
        <v>19</v>
      </c>
      <c r="H13" s="29"/>
      <c r="I13" s="29"/>
    </row>
    <row r="14" spans="1:9" x14ac:dyDescent="0.35">
      <c r="A14" s="28" t="s">
        <v>20</v>
      </c>
      <c r="B14" s="28"/>
      <c r="C14" s="28">
        <f>'PBIs Sprint 1'!J5</f>
        <v>126.5</v>
      </c>
      <c r="D14" s="29"/>
      <c r="E14" s="29"/>
      <c r="F14" s="16" t="s">
        <v>21</v>
      </c>
      <c r="G14" s="16">
        <v>40</v>
      </c>
      <c r="H14" s="29"/>
      <c r="I14" s="29"/>
    </row>
    <row r="15" spans="1:9" x14ac:dyDescent="0.35">
      <c r="A15" s="28" t="s">
        <v>22</v>
      </c>
      <c r="B15" s="28"/>
      <c r="C15" s="28">
        <f>'PBIs Sprint 1'!M5</f>
        <v>176.5</v>
      </c>
      <c r="D15" s="29"/>
      <c r="E15" s="29"/>
      <c r="F15" s="16" t="s">
        <v>23</v>
      </c>
      <c r="G15" s="16">
        <v>40</v>
      </c>
      <c r="H15" s="29"/>
      <c r="I15" s="29"/>
    </row>
    <row r="16" spans="1:9" ht="16.5" customHeight="1" x14ac:dyDescent="0.35">
      <c r="A16" s="28" t="s">
        <v>24</v>
      </c>
      <c r="B16" s="28"/>
      <c r="C16" s="28">
        <f>1*10*5</f>
        <v>50</v>
      </c>
      <c r="D16" s="46" t="s">
        <v>25</v>
      </c>
      <c r="E16" s="47"/>
      <c r="F16" s="35" t="s">
        <v>11</v>
      </c>
      <c r="G16" s="16">
        <v>80</v>
      </c>
      <c r="H16" s="21">
        <v>1863854</v>
      </c>
      <c r="I16" s="22" t="s">
        <v>213</v>
      </c>
    </row>
    <row r="17" spans="1:9" x14ac:dyDescent="0.35">
      <c r="A17" s="28" t="s">
        <v>26</v>
      </c>
      <c r="B17" s="28"/>
      <c r="C17" s="28">
        <f>C14*B84/100</f>
        <v>44.274999999999999</v>
      </c>
      <c r="D17" s="46" t="s">
        <v>27</v>
      </c>
      <c r="E17" s="47"/>
      <c r="F17" s="35" t="s">
        <v>13</v>
      </c>
      <c r="G17" s="16">
        <v>80</v>
      </c>
      <c r="H17" s="29"/>
      <c r="I17" s="29"/>
    </row>
    <row r="18" spans="1:9" x14ac:dyDescent="0.35">
      <c r="A18" s="28" t="s">
        <v>28</v>
      </c>
      <c r="B18" s="28"/>
      <c r="C18" s="28">
        <f>C13*B83/100</f>
        <v>67.2</v>
      </c>
      <c r="D18" s="46" t="s">
        <v>29</v>
      </c>
      <c r="E18" s="47"/>
      <c r="F18" s="16" t="s">
        <v>241</v>
      </c>
      <c r="G18" s="16">
        <v>40</v>
      </c>
      <c r="H18" s="29" t="s">
        <v>242</v>
      </c>
      <c r="I18" s="29"/>
    </row>
    <row r="19" spans="1:9" x14ac:dyDescent="0.35">
      <c r="A19" s="28" t="s">
        <v>30</v>
      </c>
      <c r="B19" s="28"/>
      <c r="C19" s="28">
        <f>C13-C15-C16-C17</f>
        <v>65.224999999999994</v>
      </c>
      <c r="D19" s="29"/>
      <c r="E19" s="29"/>
      <c r="F19" s="29"/>
      <c r="G19" s="29"/>
      <c r="H19" s="29"/>
      <c r="I19" s="29"/>
    </row>
    <row r="20" spans="1:9" x14ac:dyDescent="0.35">
      <c r="A20" s="29"/>
      <c r="B20" s="29"/>
      <c r="C20" s="29"/>
      <c r="D20" s="29"/>
      <c r="E20" s="29"/>
      <c r="F20" s="29"/>
      <c r="G20" s="29"/>
      <c r="H20" s="29"/>
      <c r="I20" s="29"/>
    </row>
    <row r="21" spans="1:9" x14ac:dyDescent="0.35">
      <c r="A21" s="29"/>
      <c r="B21" s="29"/>
      <c r="C21" s="29"/>
      <c r="D21" s="29"/>
      <c r="E21" s="29"/>
      <c r="F21" s="29"/>
      <c r="G21" s="29"/>
      <c r="H21" s="29"/>
      <c r="I21" s="29"/>
    </row>
    <row r="22" spans="1:9" x14ac:dyDescent="0.35">
      <c r="A22" s="48" t="s">
        <v>31</v>
      </c>
      <c r="B22" s="48"/>
      <c r="C22" s="48"/>
      <c r="D22" s="48"/>
      <c r="E22" s="48"/>
      <c r="F22" s="48"/>
      <c r="G22" s="48"/>
      <c r="H22" s="48"/>
      <c r="I22" s="48"/>
    </row>
    <row r="23" spans="1:9" x14ac:dyDescent="0.35">
      <c r="A23" s="16" t="s">
        <v>1</v>
      </c>
      <c r="B23" s="16" t="s">
        <v>32</v>
      </c>
      <c r="C23" s="16" t="s">
        <v>33</v>
      </c>
      <c r="D23" s="16" t="s">
        <v>34</v>
      </c>
      <c r="E23" s="16" t="s">
        <v>5</v>
      </c>
      <c r="F23" s="16" t="s">
        <v>35</v>
      </c>
      <c r="G23" s="16" t="s">
        <v>7</v>
      </c>
      <c r="H23" s="16" t="s">
        <v>8</v>
      </c>
      <c r="I23" s="16" t="s">
        <v>9</v>
      </c>
    </row>
    <row r="24" spans="1:9" ht="29" x14ac:dyDescent="0.35">
      <c r="A24" s="35" t="s">
        <v>10</v>
      </c>
      <c r="B24" s="16">
        <v>6</v>
      </c>
      <c r="C24" s="16">
        <f>B24*I24</f>
        <v>54</v>
      </c>
      <c r="D24" s="16">
        <v>10</v>
      </c>
      <c r="E24" s="16">
        <v>1</v>
      </c>
      <c r="F24" s="16">
        <v>0</v>
      </c>
      <c r="G24" s="16">
        <v>0</v>
      </c>
      <c r="H24" s="16">
        <v>0</v>
      </c>
      <c r="I24" s="16">
        <f>D24-E24-F24-G24-H24</f>
        <v>9</v>
      </c>
    </row>
    <row r="25" spans="1:9" x14ac:dyDescent="0.35">
      <c r="A25" s="35" t="s">
        <v>11</v>
      </c>
      <c r="B25" s="16">
        <v>0</v>
      </c>
      <c r="C25" s="16">
        <f>B25*I25</f>
        <v>0</v>
      </c>
      <c r="D25" s="16">
        <v>10</v>
      </c>
      <c r="E25" s="16">
        <v>1</v>
      </c>
      <c r="F25" s="16">
        <v>0</v>
      </c>
      <c r="G25" s="16">
        <v>0</v>
      </c>
      <c r="H25" s="16">
        <v>0</v>
      </c>
      <c r="I25" s="16">
        <f t="shared" ref="I25:I26" si="4">D25-E25-F25-G25-H25</f>
        <v>9</v>
      </c>
    </row>
    <row r="26" spans="1:9" x14ac:dyDescent="0.35">
      <c r="A26" s="35" t="s">
        <v>12</v>
      </c>
      <c r="B26" s="16">
        <v>8</v>
      </c>
      <c r="C26" s="16">
        <f>B26*I26</f>
        <v>72</v>
      </c>
      <c r="D26" s="16">
        <v>10</v>
      </c>
      <c r="E26" s="16">
        <v>1</v>
      </c>
      <c r="F26" s="16">
        <v>0</v>
      </c>
      <c r="G26" s="16">
        <v>0</v>
      </c>
      <c r="H26" s="16">
        <v>0</v>
      </c>
      <c r="I26" s="16">
        <f t="shared" si="4"/>
        <v>9</v>
      </c>
    </row>
    <row r="27" spans="1:9" x14ac:dyDescent="0.35">
      <c r="A27" s="35" t="s">
        <v>13</v>
      </c>
      <c r="B27" s="16">
        <v>8</v>
      </c>
      <c r="C27" s="16">
        <f t="shared" ref="C27" si="5">B27*I27</f>
        <v>72</v>
      </c>
      <c r="D27" s="16">
        <v>10</v>
      </c>
      <c r="E27" s="16">
        <v>1</v>
      </c>
      <c r="F27" s="16">
        <v>0</v>
      </c>
      <c r="G27" s="16">
        <v>0</v>
      </c>
      <c r="H27" s="16">
        <v>0</v>
      </c>
      <c r="I27" s="16">
        <f t="shared" ref="I27" si="6">D27-E27-F27-G27-H27</f>
        <v>9</v>
      </c>
    </row>
    <row r="28" spans="1:9" x14ac:dyDescent="0.35">
      <c r="A28" s="35" t="s">
        <v>14</v>
      </c>
      <c r="B28" s="16">
        <v>0</v>
      </c>
      <c r="C28" s="16">
        <f t="shared" ref="C28" si="7">B28*I28</f>
        <v>0</v>
      </c>
      <c r="D28" s="16">
        <v>10</v>
      </c>
      <c r="E28" s="16">
        <v>1</v>
      </c>
      <c r="F28" s="16">
        <v>0</v>
      </c>
      <c r="G28" s="16">
        <v>0</v>
      </c>
      <c r="H28" s="16">
        <v>0</v>
      </c>
      <c r="I28" s="16">
        <f t="shared" ref="I28:I29" si="8">D28-E28-F28-G28-H28</f>
        <v>9</v>
      </c>
    </row>
    <row r="29" spans="1:9" x14ac:dyDescent="0.35">
      <c r="A29" s="35" t="s">
        <v>15</v>
      </c>
      <c r="B29" s="16">
        <v>8</v>
      </c>
      <c r="C29" s="16">
        <f>B29*I29</f>
        <v>72</v>
      </c>
      <c r="D29" s="16">
        <v>10</v>
      </c>
      <c r="E29" s="16">
        <v>1</v>
      </c>
      <c r="F29" s="16">
        <v>0</v>
      </c>
      <c r="G29" s="16">
        <v>0</v>
      </c>
      <c r="H29" s="16">
        <v>0</v>
      </c>
      <c r="I29" s="16">
        <f t="shared" si="8"/>
        <v>9</v>
      </c>
    </row>
    <row r="30" spans="1:9" x14ac:dyDescent="0.35">
      <c r="A30" s="35" t="s">
        <v>16</v>
      </c>
      <c r="B30" s="16">
        <v>8</v>
      </c>
      <c r="C30" s="16">
        <f>B30*I30</f>
        <v>72</v>
      </c>
      <c r="D30" s="16">
        <v>10</v>
      </c>
      <c r="E30" s="16">
        <v>1</v>
      </c>
      <c r="F30" s="16">
        <v>0</v>
      </c>
      <c r="G30" s="16">
        <v>0</v>
      </c>
      <c r="H30" s="16">
        <v>0</v>
      </c>
      <c r="I30" s="16">
        <f t="shared" ref="I30" si="9">D30-E30-F30-G30-H30</f>
        <v>9</v>
      </c>
    </row>
    <row r="31" spans="1:9" x14ac:dyDescent="0.35">
      <c r="A31" s="35"/>
      <c r="B31" s="16"/>
      <c r="C31" s="16"/>
      <c r="D31" s="29"/>
      <c r="E31" s="29"/>
      <c r="F31" s="29"/>
      <c r="G31" s="29"/>
      <c r="H31" s="29"/>
      <c r="I31" s="29"/>
    </row>
    <row r="32" spans="1:9" x14ac:dyDescent="0.35">
      <c r="A32" s="28" t="s">
        <v>17</v>
      </c>
      <c r="B32" s="28"/>
      <c r="C32" s="28">
        <f>SUM(C24:C30)</f>
        <v>342</v>
      </c>
      <c r="D32" s="29"/>
      <c r="E32" s="29"/>
      <c r="F32" s="29"/>
      <c r="G32" s="29"/>
      <c r="H32" s="29" t="s">
        <v>36</v>
      </c>
      <c r="I32" s="29"/>
    </row>
    <row r="33" spans="1:9" x14ac:dyDescent="0.35">
      <c r="A33" s="28" t="s">
        <v>20</v>
      </c>
      <c r="B33" s="28"/>
      <c r="C33" s="28">
        <f>'PBIs Sprint 2'!J5</f>
        <v>136.85</v>
      </c>
      <c r="D33" s="29"/>
      <c r="E33" s="29"/>
      <c r="F33" s="40" t="s">
        <v>18</v>
      </c>
      <c r="G33" s="40" t="s">
        <v>19</v>
      </c>
      <c r="H33" s="29"/>
      <c r="I33" s="29"/>
    </row>
    <row r="34" spans="1:9" x14ac:dyDescent="0.35">
      <c r="A34" s="28" t="s">
        <v>22</v>
      </c>
      <c r="B34" s="28"/>
      <c r="C34" s="28">
        <f>'PBIs Sprint 2'!M5</f>
        <v>202.85</v>
      </c>
      <c r="D34" s="29"/>
      <c r="E34" s="29"/>
      <c r="F34" s="16" t="s">
        <v>21</v>
      </c>
      <c r="G34" s="16">
        <v>40</v>
      </c>
      <c r="H34" s="29"/>
      <c r="I34" s="29"/>
    </row>
    <row r="35" spans="1:9" x14ac:dyDescent="0.35">
      <c r="A35" s="28" t="s">
        <v>24</v>
      </c>
      <c r="B35" s="28"/>
      <c r="C35" s="28">
        <f>1*10*5</f>
        <v>50</v>
      </c>
      <c r="D35" s="46" t="s">
        <v>25</v>
      </c>
      <c r="E35" s="47"/>
      <c r="F35" s="16" t="s">
        <v>23</v>
      </c>
      <c r="G35" s="16">
        <v>40</v>
      </c>
      <c r="H35" s="29"/>
      <c r="I35" s="29"/>
    </row>
    <row r="36" spans="1:9" x14ac:dyDescent="0.35">
      <c r="A36" s="28" t="s">
        <v>37</v>
      </c>
      <c r="B36" s="28"/>
      <c r="C36" s="28">
        <f>C33*B84/100</f>
        <v>47.897500000000001</v>
      </c>
      <c r="D36" s="46" t="s">
        <v>27</v>
      </c>
      <c r="E36" s="47"/>
      <c r="F36" s="35" t="s">
        <v>11</v>
      </c>
      <c r="G36" s="16">
        <v>80</v>
      </c>
      <c r="H36" s="29"/>
      <c r="I36" s="29"/>
    </row>
    <row r="37" spans="1:9" x14ac:dyDescent="0.35">
      <c r="A37" s="28" t="s">
        <v>38</v>
      </c>
      <c r="B37" s="28"/>
      <c r="C37" s="28">
        <f>C32*B83/100</f>
        <v>68.400000000000006</v>
      </c>
      <c r="D37" s="46" t="s">
        <v>29</v>
      </c>
      <c r="E37" s="47"/>
      <c r="F37" s="35" t="s">
        <v>14</v>
      </c>
      <c r="G37" s="16">
        <v>80</v>
      </c>
      <c r="H37" s="29"/>
      <c r="I37" s="29"/>
    </row>
    <row r="38" spans="1:9" x14ac:dyDescent="0.35">
      <c r="A38" s="28" t="s">
        <v>30</v>
      </c>
      <c r="B38" s="28"/>
      <c r="C38" s="28">
        <f>C32-SUM(C34:C36)</f>
        <v>41.252499999999998</v>
      </c>
      <c r="D38" s="29"/>
      <c r="E38" s="29"/>
      <c r="F38" s="29"/>
      <c r="G38" s="29"/>
      <c r="H38" s="29"/>
      <c r="I38" s="29"/>
    </row>
    <row r="39" spans="1:9" x14ac:dyDescent="0.35">
      <c r="A39" s="29"/>
      <c r="B39" s="29"/>
      <c r="C39" s="29"/>
      <c r="D39" s="29"/>
      <c r="E39" s="29"/>
      <c r="F39" s="29"/>
      <c r="G39" s="29"/>
      <c r="H39" s="29"/>
      <c r="I39" s="29"/>
    </row>
    <row r="40" spans="1:9" x14ac:dyDescent="0.35">
      <c r="A40" s="34" t="s">
        <v>39</v>
      </c>
      <c r="B40" s="34"/>
      <c r="C40" s="34"/>
      <c r="D40" s="34"/>
      <c r="E40" s="34"/>
      <c r="F40" s="34"/>
      <c r="G40" s="34"/>
      <c r="H40" s="34"/>
      <c r="I40" s="34"/>
    </row>
    <row r="41" spans="1:9" x14ac:dyDescent="0.35">
      <c r="A41" s="16" t="s">
        <v>1</v>
      </c>
      <c r="B41" s="16" t="s">
        <v>32</v>
      </c>
      <c r="C41" s="16" t="s">
        <v>3</v>
      </c>
      <c r="D41" s="16" t="s">
        <v>34</v>
      </c>
      <c r="E41" s="16" t="s">
        <v>5</v>
      </c>
      <c r="F41" s="16" t="s">
        <v>35</v>
      </c>
      <c r="G41" s="16" t="s">
        <v>7</v>
      </c>
      <c r="H41" s="16" t="s">
        <v>8</v>
      </c>
      <c r="I41" s="16" t="s">
        <v>9</v>
      </c>
    </row>
    <row r="42" spans="1:9" ht="29" x14ac:dyDescent="0.35">
      <c r="A42" s="35" t="s">
        <v>10</v>
      </c>
      <c r="B42" s="16">
        <v>6</v>
      </c>
      <c r="C42" s="16">
        <f>B42*I42</f>
        <v>48</v>
      </c>
      <c r="D42" s="16">
        <v>10</v>
      </c>
      <c r="E42" s="16">
        <v>1</v>
      </c>
      <c r="F42" s="16">
        <v>0</v>
      </c>
      <c r="G42" s="16">
        <v>0</v>
      </c>
      <c r="H42" s="16">
        <v>1</v>
      </c>
      <c r="I42" s="16">
        <f>D42-E42-F42-G42-H42</f>
        <v>8</v>
      </c>
    </row>
    <row r="43" spans="1:9" x14ac:dyDescent="0.35">
      <c r="A43" s="35" t="s">
        <v>11</v>
      </c>
      <c r="B43" s="16">
        <v>0</v>
      </c>
      <c r="C43" s="16">
        <f>B43*I43</f>
        <v>0</v>
      </c>
      <c r="D43" s="16">
        <v>10</v>
      </c>
      <c r="E43" s="16">
        <v>1</v>
      </c>
      <c r="F43" s="16">
        <v>0</v>
      </c>
      <c r="G43" s="16">
        <v>0</v>
      </c>
      <c r="H43" s="16">
        <v>1</v>
      </c>
      <c r="I43" s="16">
        <f t="shared" ref="I43:I47" si="10">D43-E43-F43-G43-H43</f>
        <v>8</v>
      </c>
    </row>
    <row r="44" spans="1:9" x14ac:dyDescent="0.35">
      <c r="A44" s="35" t="s">
        <v>12</v>
      </c>
      <c r="B44" s="16">
        <v>0</v>
      </c>
      <c r="C44" s="16">
        <f>B44*I44</f>
        <v>0</v>
      </c>
      <c r="D44" s="16">
        <v>10</v>
      </c>
      <c r="E44" s="16">
        <v>1</v>
      </c>
      <c r="F44" s="16">
        <v>0</v>
      </c>
      <c r="G44" s="16">
        <v>0</v>
      </c>
      <c r="H44" s="16">
        <v>1</v>
      </c>
      <c r="I44" s="16">
        <f t="shared" si="10"/>
        <v>8</v>
      </c>
    </row>
    <row r="45" spans="1:9" x14ac:dyDescent="0.35">
      <c r="A45" s="35" t="s">
        <v>13</v>
      </c>
      <c r="B45" s="16">
        <v>8</v>
      </c>
      <c r="C45" s="16">
        <f t="shared" ref="C45" si="11">B45*I45</f>
        <v>48</v>
      </c>
      <c r="D45" s="16">
        <v>10</v>
      </c>
      <c r="E45" s="16">
        <v>1</v>
      </c>
      <c r="F45" s="16">
        <v>0</v>
      </c>
      <c r="G45" s="16">
        <v>0</v>
      </c>
      <c r="H45" s="16">
        <f>1+1+1</f>
        <v>3</v>
      </c>
      <c r="I45" s="16">
        <f t="shared" si="10"/>
        <v>6</v>
      </c>
    </row>
    <row r="46" spans="1:9" x14ac:dyDescent="0.35">
      <c r="A46" s="35" t="s">
        <v>14</v>
      </c>
      <c r="B46" s="16">
        <v>8</v>
      </c>
      <c r="C46" s="16">
        <f>B46*I46</f>
        <v>64</v>
      </c>
      <c r="D46" s="16">
        <v>10</v>
      </c>
      <c r="E46" s="16">
        <v>1</v>
      </c>
      <c r="F46" s="16">
        <v>0</v>
      </c>
      <c r="G46" s="16">
        <v>0</v>
      </c>
      <c r="H46" s="16">
        <v>1</v>
      </c>
      <c r="I46" s="16">
        <f t="shared" si="10"/>
        <v>8</v>
      </c>
    </row>
    <row r="47" spans="1:9" x14ac:dyDescent="0.35">
      <c r="A47" s="35" t="s">
        <v>15</v>
      </c>
      <c r="B47" s="16">
        <v>8</v>
      </c>
      <c r="C47" s="16">
        <f>B47*I47</f>
        <v>64</v>
      </c>
      <c r="D47" s="16">
        <v>10</v>
      </c>
      <c r="E47" s="16">
        <v>1</v>
      </c>
      <c r="F47" s="16">
        <v>0</v>
      </c>
      <c r="G47" s="16">
        <v>0</v>
      </c>
      <c r="H47" s="16">
        <v>1</v>
      </c>
      <c r="I47" s="16">
        <f t="shared" si="10"/>
        <v>8</v>
      </c>
    </row>
    <row r="48" spans="1:9" x14ac:dyDescent="0.35">
      <c r="A48" s="35" t="s">
        <v>16</v>
      </c>
      <c r="B48" s="16">
        <v>8</v>
      </c>
      <c r="C48" s="16">
        <f>B48*I48</f>
        <v>64</v>
      </c>
      <c r="D48" s="16">
        <v>10</v>
      </c>
      <c r="E48" s="16">
        <v>1</v>
      </c>
      <c r="F48" s="16">
        <v>0</v>
      </c>
      <c r="G48" s="16">
        <v>0</v>
      </c>
      <c r="H48" s="16">
        <v>1</v>
      </c>
      <c r="I48" s="16">
        <f t="shared" ref="I48" si="12">D48-E48-F48-G48-H48</f>
        <v>8</v>
      </c>
    </row>
    <row r="49" spans="1:9" x14ac:dyDescent="0.35">
      <c r="A49" s="16"/>
      <c r="B49" s="16"/>
      <c r="C49" s="16"/>
      <c r="D49" s="29"/>
      <c r="E49" s="29"/>
      <c r="F49" s="29"/>
      <c r="G49" s="29"/>
      <c r="H49" s="29"/>
      <c r="I49" s="29"/>
    </row>
    <row r="50" spans="1:9" x14ac:dyDescent="0.35">
      <c r="A50" s="28" t="s">
        <v>17</v>
      </c>
      <c r="B50" s="28"/>
      <c r="C50" s="28">
        <f>SUM(C42:C49)</f>
        <v>288</v>
      </c>
      <c r="D50" s="29"/>
      <c r="E50" s="29"/>
      <c r="F50" s="29"/>
      <c r="G50" s="29"/>
      <c r="H50" s="29"/>
      <c r="I50" s="29"/>
    </row>
    <row r="51" spans="1:9" x14ac:dyDescent="0.35">
      <c r="A51" s="28" t="s">
        <v>20</v>
      </c>
      <c r="B51" s="28"/>
      <c r="C51" s="28">
        <f>'PBIs Sprint 3'!J5</f>
        <v>70.149999999999991</v>
      </c>
      <c r="D51" s="29"/>
      <c r="E51" s="29"/>
      <c r="F51" s="29"/>
      <c r="G51" s="29"/>
      <c r="H51" s="29"/>
      <c r="I51" s="29"/>
    </row>
    <row r="52" spans="1:9" x14ac:dyDescent="0.35">
      <c r="A52" s="28" t="s">
        <v>22</v>
      </c>
      <c r="B52" s="28"/>
      <c r="C52" s="28">
        <f>'PBIs Sprint 3'!M5</f>
        <v>134.14999999999998</v>
      </c>
      <c r="D52" s="33"/>
      <c r="E52" s="33"/>
      <c r="F52" s="40" t="s">
        <v>18</v>
      </c>
      <c r="G52" s="40" t="s">
        <v>19</v>
      </c>
      <c r="H52" s="29"/>
      <c r="I52" s="29"/>
    </row>
    <row r="53" spans="1:9" x14ac:dyDescent="0.35">
      <c r="A53" s="28" t="s">
        <v>24</v>
      </c>
      <c r="B53" s="28"/>
      <c r="C53" s="28">
        <f>1*10*5</f>
        <v>50</v>
      </c>
      <c r="D53" s="46" t="s">
        <v>25</v>
      </c>
      <c r="E53" s="47"/>
      <c r="F53" s="16" t="s">
        <v>21</v>
      </c>
      <c r="G53" s="16">
        <v>40</v>
      </c>
      <c r="H53" s="29"/>
      <c r="I53" s="29"/>
    </row>
    <row r="54" spans="1:9" x14ac:dyDescent="0.35">
      <c r="A54" s="28" t="s">
        <v>40</v>
      </c>
      <c r="B54" s="28"/>
      <c r="C54" s="28">
        <f>C51*B84/100</f>
        <v>24.552499999999995</v>
      </c>
      <c r="D54" s="46" t="s">
        <v>27</v>
      </c>
      <c r="E54" s="47"/>
      <c r="F54" s="16" t="s">
        <v>23</v>
      </c>
      <c r="G54" s="16">
        <v>40</v>
      </c>
      <c r="H54" s="29"/>
      <c r="I54" s="29"/>
    </row>
    <row r="55" spans="1:9" x14ac:dyDescent="0.35">
      <c r="A55" s="28" t="s">
        <v>38</v>
      </c>
      <c r="B55" s="28"/>
      <c r="C55" s="28">
        <f>C50*B83/100</f>
        <v>57.6</v>
      </c>
      <c r="D55" s="46" t="s">
        <v>29</v>
      </c>
      <c r="E55" s="47"/>
      <c r="F55" s="35" t="s">
        <v>11</v>
      </c>
      <c r="G55" s="16">
        <v>80</v>
      </c>
      <c r="H55" s="29"/>
      <c r="I55" s="29"/>
    </row>
    <row r="56" spans="1:9" x14ac:dyDescent="0.35">
      <c r="A56" s="28" t="s">
        <v>30</v>
      </c>
      <c r="B56" s="28"/>
      <c r="C56" s="28">
        <f>C50-C52-C53-C54</f>
        <v>79.297500000000028</v>
      </c>
      <c r="F56" s="35" t="s">
        <v>12</v>
      </c>
      <c r="G56" s="16">
        <v>80</v>
      </c>
      <c r="H56" s="29"/>
      <c r="I56" s="29"/>
    </row>
    <row r="57" spans="1:9" x14ac:dyDescent="0.35">
      <c r="D57" s="33"/>
      <c r="E57" s="33"/>
      <c r="F57" s="29"/>
      <c r="G57" s="29"/>
      <c r="H57" s="29"/>
      <c r="I57" s="29"/>
    </row>
    <row r="58" spans="1:9" x14ac:dyDescent="0.35">
      <c r="A58" s="29"/>
      <c r="B58" s="29"/>
      <c r="C58" s="29"/>
      <c r="D58" s="29"/>
      <c r="E58" s="29"/>
      <c r="F58" s="29"/>
      <c r="G58" s="29"/>
      <c r="H58" s="29"/>
      <c r="I58" s="29"/>
    </row>
    <row r="59" spans="1:9" x14ac:dyDescent="0.35">
      <c r="A59" s="34" t="s">
        <v>41</v>
      </c>
      <c r="B59" s="34"/>
      <c r="C59" s="34"/>
      <c r="D59" s="34"/>
      <c r="E59" s="34"/>
      <c r="F59" s="34"/>
      <c r="G59" s="34"/>
      <c r="H59" s="34"/>
      <c r="I59" s="34"/>
    </row>
    <row r="60" spans="1:9" x14ac:dyDescent="0.35">
      <c r="A60" s="16" t="s">
        <v>1</v>
      </c>
      <c r="B60" s="16" t="s">
        <v>32</v>
      </c>
      <c r="C60" s="16" t="s">
        <v>33</v>
      </c>
      <c r="D60" s="16" t="s">
        <v>34</v>
      </c>
      <c r="E60" s="16" t="s">
        <v>5</v>
      </c>
      <c r="F60" s="16" t="s">
        <v>35</v>
      </c>
      <c r="G60" s="16" t="s">
        <v>7</v>
      </c>
      <c r="H60" s="16" t="s">
        <v>8</v>
      </c>
      <c r="I60" s="16" t="s">
        <v>9</v>
      </c>
    </row>
    <row r="61" spans="1:9" ht="29" x14ac:dyDescent="0.35">
      <c r="A61" s="35" t="s">
        <v>10</v>
      </c>
      <c r="B61" s="16">
        <v>6</v>
      </c>
      <c r="C61" s="16">
        <f t="shared" ref="C61:C67" si="13">B61*I61</f>
        <v>54</v>
      </c>
      <c r="D61" s="16">
        <v>10</v>
      </c>
      <c r="E61" s="16">
        <v>1</v>
      </c>
      <c r="F61" s="16">
        <v>0</v>
      </c>
      <c r="G61" s="16">
        <v>0</v>
      </c>
      <c r="H61" s="16">
        <v>0</v>
      </c>
      <c r="I61" s="16">
        <f>D61-E61-F61-G61-H61</f>
        <v>9</v>
      </c>
    </row>
    <row r="62" spans="1:9" x14ac:dyDescent="0.35">
      <c r="A62" s="35" t="s">
        <v>11</v>
      </c>
      <c r="B62" s="16">
        <v>0</v>
      </c>
      <c r="C62" s="16">
        <f t="shared" si="13"/>
        <v>0</v>
      </c>
      <c r="D62" s="16">
        <v>10</v>
      </c>
      <c r="E62" s="16">
        <v>1</v>
      </c>
      <c r="F62" s="16">
        <v>0</v>
      </c>
      <c r="G62" s="16">
        <v>0</v>
      </c>
      <c r="H62" s="16">
        <v>0</v>
      </c>
      <c r="I62" s="16">
        <f t="shared" ref="I62:I65" si="14">D62-E62-F62-G62-H62</f>
        <v>9</v>
      </c>
    </row>
    <row r="63" spans="1:9" x14ac:dyDescent="0.35">
      <c r="A63" s="35" t="s">
        <v>12</v>
      </c>
      <c r="B63" s="16">
        <v>8</v>
      </c>
      <c r="C63" s="16">
        <f t="shared" si="13"/>
        <v>72</v>
      </c>
      <c r="D63" s="16">
        <v>10</v>
      </c>
      <c r="E63" s="16">
        <v>1</v>
      </c>
      <c r="F63" s="16">
        <v>0</v>
      </c>
      <c r="G63" s="16">
        <v>0</v>
      </c>
      <c r="H63" s="16">
        <v>0</v>
      </c>
      <c r="I63" s="16">
        <f t="shared" si="14"/>
        <v>9</v>
      </c>
    </row>
    <row r="64" spans="1:9" x14ac:dyDescent="0.35">
      <c r="A64" s="35" t="s">
        <v>13</v>
      </c>
      <c r="B64" s="16">
        <v>8</v>
      </c>
      <c r="C64" s="16">
        <f t="shared" si="13"/>
        <v>72</v>
      </c>
      <c r="D64" s="16">
        <v>10</v>
      </c>
      <c r="E64" s="16">
        <v>1</v>
      </c>
      <c r="F64" s="16">
        <v>0</v>
      </c>
      <c r="G64" s="16">
        <v>0</v>
      </c>
      <c r="H64" s="16">
        <v>0</v>
      </c>
      <c r="I64" s="16">
        <f t="shared" si="14"/>
        <v>9</v>
      </c>
    </row>
    <row r="65" spans="1:9" x14ac:dyDescent="0.35">
      <c r="A65" s="35" t="s">
        <v>14</v>
      </c>
      <c r="B65" s="16">
        <v>0</v>
      </c>
      <c r="C65" s="16">
        <f t="shared" si="13"/>
        <v>0</v>
      </c>
      <c r="D65" s="16">
        <v>10</v>
      </c>
      <c r="E65" s="16">
        <v>1</v>
      </c>
      <c r="F65" s="16">
        <v>0</v>
      </c>
      <c r="G65" s="16">
        <v>0</v>
      </c>
      <c r="H65" s="16">
        <v>0</v>
      </c>
      <c r="I65" s="16">
        <f t="shared" si="14"/>
        <v>9</v>
      </c>
    </row>
    <row r="66" spans="1:9" x14ac:dyDescent="0.35">
      <c r="A66" s="35" t="s">
        <v>15</v>
      </c>
      <c r="B66" s="16">
        <v>8</v>
      </c>
      <c r="C66" s="16">
        <f t="shared" si="13"/>
        <v>72</v>
      </c>
      <c r="D66" s="16">
        <v>10</v>
      </c>
      <c r="E66" s="16">
        <v>1</v>
      </c>
      <c r="F66" s="16">
        <v>0</v>
      </c>
      <c r="G66" s="16">
        <v>0</v>
      </c>
      <c r="H66" s="16">
        <v>0</v>
      </c>
      <c r="I66" s="16">
        <f t="shared" ref="I66:I67" si="15">D66-E66-F66-G66-H66</f>
        <v>9</v>
      </c>
    </row>
    <row r="67" spans="1:9" x14ac:dyDescent="0.35">
      <c r="A67" s="35" t="s">
        <v>16</v>
      </c>
      <c r="B67" s="16">
        <v>8</v>
      </c>
      <c r="C67" s="16">
        <f t="shared" si="13"/>
        <v>72</v>
      </c>
      <c r="D67" s="16">
        <v>10</v>
      </c>
      <c r="E67" s="16">
        <v>1</v>
      </c>
      <c r="F67" s="16">
        <v>0</v>
      </c>
      <c r="G67" s="16">
        <v>0</v>
      </c>
      <c r="H67" s="16">
        <v>0</v>
      </c>
      <c r="I67" s="16">
        <f t="shared" si="15"/>
        <v>9</v>
      </c>
    </row>
    <row r="68" spans="1:9" x14ac:dyDescent="0.35">
      <c r="A68" s="16"/>
      <c r="B68" s="16"/>
      <c r="C68" s="16"/>
      <c r="D68" s="29"/>
      <c r="E68" s="29"/>
      <c r="F68" s="29"/>
      <c r="G68" s="29"/>
      <c r="H68" s="29"/>
      <c r="I68" s="29"/>
    </row>
    <row r="69" spans="1:9" x14ac:dyDescent="0.35">
      <c r="A69" s="28" t="s">
        <v>17</v>
      </c>
      <c r="B69" s="28"/>
      <c r="C69" s="28">
        <f>SUM(C61:C68)</f>
        <v>342</v>
      </c>
      <c r="D69" s="29"/>
      <c r="E69" s="29"/>
      <c r="F69" s="29"/>
      <c r="G69" s="29"/>
      <c r="H69" s="29"/>
      <c r="I69" s="29"/>
    </row>
    <row r="70" spans="1:9" x14ac:dyDescent="0.35">
      <c r="A70" s="28" t="s">
        <v>20</v>
      </c>
      <c r="B70" s="28"/>
      <c r="C70" s="28">
        <f>'PBIs Sprint 4'!J4</f>
        <v>80.5</v>
      </c>
      <c r="D70" s="29"/>
      <c r="E70" s="29"/>
      <c r="F70" s="29"/>
      <c r="G70" s="29"/>
      <c r="H70" s="29"/>
      <c r="I70" s="29"/>
    </row>
    <row r="71" spans="1:9" x14ac:dyDescent="0.35">
      <c r="A71" s="28" t="s">
        <v>22</v>
      </c>
      <c r="B71" s="28"/>
      <c r="C71" s="28">
        <f>'PBIs Sprint 4'!M4</f>
        <v>102.5</v>
      </c>
      <c r="D71" s="33"/>
      <c r="E71" s="33"/>
      <c r="F71" s="40" t="s">
        <v>18</v>
      </c>
      <c r="G71" s="40" t="s">
        <v>19</v>
      </c>
      <c r="H71" s="29"/>
      <c r="I71" s="29"/>
    </row>
    <row r="72" spans="1:9" x14ac:dyDescent="0.35">
      <c r="A72" s="28" t="s">
        <v>24</v>
      </c>
      <c r="B72" s="28"/>
      <c r="C72" s="28">
        <f>1*10*5</f>
        <v>50</v>
      </c>
      <c r="D72" s="46" t="s">
        <v>25</v>
      </c>
      <c r="E72" s="47"/>
      <c r="F72" s="16" t="s">
        <v>21</v>
      </c>
      <c r="G72" s="16">
        <v>40</v>
      </c>
      <c r="H72" s="29"/>
      <c r="I72" s="29"/>
    </row>
    <row r="73" spans="1:9" x14ac:dyDescent="0.35">
      <c r="A73" s="28" t="s">
        <v>40</v>
      </c>
      <c r="B73" s="28"/>
      <c r="C73" s="28">
        <f>C70*B84/100</f>
        <v>28.175000000000001</v>
      </c>
      <c r="D73" s="46" t="s">
        <v>27</v>
      </c>
      <c r="E73" s="47"/>
      <c r="F73" s="16" t="s">
        <v>23</v>
      </c>
      <c r="G73" s="16">
        <v>40</v>
      </c>
      <c r="H73" s="29"/>
      <c r="I73" s="29"/>
    </row>
    <row r="74" spans="1:9" x14ac:dyDescent="0.35">
      <c r="A74" s="28" t="s">
        <v>38</v>
      </c>
      <c r="B74" s="28"/>
      <c r="C74" s="28">
        <f>C69*B83/100</f>
        <v>68.400000000000006</v>
      </c>
      <c r="D74" s="46" t="s">
        <v>29</v>
      </c>
      <c r="E74" s="47"/>
      <c r="F74" s="35" t="s">
        <v>247</v>
      </c>
      <c r="G74" s="16">
        <v>80</v>
      </c>
      <c r="H74" s="29"/>
      <c r="I74" s="29"/>
    </row>
    <row r="75" spans="1:9" x14ac:dyDescent="0.35">
      <c r="A75" s="28" t="s">
        <v>30</v>
      </c>
      <c r="B75" s="28"/>
      <c r="C75" s="28">
        <f>C69-C71-C72-C73</f>
        <v>161.32499999999999</v>
      </c>
      <c r="F75" s="35" t="s">
        <v>14</v>
      </c>
      <c r="G75" s="16">
        <v>80</v>
      </c>
      <c r="H75" s="29"/>
      <c r="I75" s="29"/>
    </row>
    <row r="76" spans="1:9" x14ac:dyDescent="0.35">
      <c r="A76" s="29"/>
      <c r="B76" s="29"/>
      <c r="C76" s="29"/>
      <c r="D76" s="29"/>
      <c r="E76" s="29"/>
      <c r="F76" s="29"/>
      <c r="G76" s="29"/>
      <c r="H76" s="29"/>
      <c r="I76" s="29"/>
    </row>
    <row r="77" spans="1:9" x14ac:dyDescent="0.35">
      <c r="A77" s="49" t="s">
        <v>42</v>
      </c>
      <c r="B77" s="50"/>
      <c r="C77" s="30">
        <f>C15+C34+C71+C52</f>
        <v>616</v>
      </c>
      <c r="D77" s="29"/>
      <c r="E77" s="29"/>
      <c r="F77" s="29"/>
      <c r="G77" s="29"/>
      <c r="H77" s="29"/>
      <c r="I77" s="29"/>
    </row>
    <row r="78" spans="1:9" x14ac:dyDescent="0.35">
      <c r="A78" s="51" t="s">
        <v>43</v>
      </c>
      <c r="B78" s="51"/>
      <c r="C78" s="30">
        <f>SUM(C16,C17,C35,C36,C53,C54,C72,C73)</f>
        <v>344.90000000000003</v>
      </c>
      <c r="D78" s="29"/>
      <c r="E78" s="29"/>
      <c r="F78" s="29"/>
      <c r="G78" s="29"/>
      <c r="H78" s="29"/>
      <c r="I78" s="29"/>
    </row>
    <row r="79" spans="1:9" x14ac:dyDescent="0.35">
      <c r="A79" s="51" t="s">
        <v>28</v>
      </c>
      <c r="B79" s="51"/>
      <c r="C79" s="30">
        <f>SUM(C18,C37,C55,C74)</f>
        <v>261.60000000000002</v>
      </c>
      <c r="D79" s="29" t="s">
        <v>44</v>
      </c>
      <c r="E79" s="29"/>
      <c r="F79" s="29"/>
      <c r="G79" s="29"/>
      <c r="H79" s="29"/>
      <c r="I79" s="29"/>
    </row>
    <row r="80" spans="1:9" x14ac:dyDescent="0.35">
      <c r="A80" s="51" t="s">
        <v>45</v>
      </c>
      <c r="B80" s="51"/>
      <c r="C80" s="30">
        <f>C13+C32+C50+C69</f>
        <v>1308</v>
      </c>
      <c r="D80" s="29"/>
      <c r="E80" s="29"/>
      <c r="F80" s="29"/>
      <c r="G80" s="29"/>
      <c r="H80" s="29"/>
      <c r="I80" s="29"/>
    </row>
    <row r="81" spans="1:9" x14ac:dyDescent="0.35">
      <c r="A81" s="51" t="s">
        <v>30</v>
      </c>
      <c r="B81" s="51"/>
      <c r="C81" s="30">
        <f>C19+C38+C56+C75</f>
        <v>347.1</v>
      </c>
      <c r="D81" s="29"/>
      <c r="E81" s="29"/>
      <c r="F81" s="29"/>
      <c r="G81" s="29"/>
      <c r="H81" s="29"/>
      <c r="I81" s="29"/>
    </row>
    <row r="82" spans="1:9" x14ac:dyDescent="0.35">
      <c r="A82" s="29"/>
      <c r="B82" s="29"/>
      <c r="C82" s="29"/>
      <c r="D82" s="29"/>
      <c r="E82" s="29"/>
      <c r="F82" s="29"/>
      <c r="G82" s="29"/>
      <c r="H82" s="29"/>
      <c r="I82" s="29"/>
    </row>
    <row r="83" spans="1:9" x14ac:dyDescent="0.35">
      <c r="A83" s="31" t="s">
        <v>46</v>
      </c>
      <c r="B83" s="32">
        <v>20</v>
      </c>
      <c r="C83" s="29"/>
      <c r="D83" s="29"/>
      <c r="E83" s="29"/>
      <c r="F83" s="29"/>
      <c r="G83" s="29"/>
      <c r="H83" s="29"/>
      <c r="I83" s="29"/>
    </row>
    <row r="84" spans="1:9" x14ac:dyDescent="0.35">
      <c r="A84" s="31" t="s">
        <v>47</v>
      </c>
      <c r="B84" s="32">
        <v>35</v>
      </c>
      <c r="C84" s="29"/>
      <c r="D84" s="29"/>
      <c r="E84" s="29"/>
      <c r="F84" s="29"/>
      <c r="G84" s="29"/>
      <c r="H84" s="29"/>
      <c r="I84" s="29"/>
    </row>
    <row r="85" spans="1:9" x14ac:dyDescent="0.35">
      <c r="A85" s="29" t="s">
        <v>48</v>
      </c>
      <c r="B85" s="29">
        <v>0.15</v>
      </c>
      <c r="C85" s="29"/>
      <c r="D85" s="29"/>
      <c r="E85" s="29"/>
      <c r="F85" s="29"/>
      <c r="G85" s="29"/>
      <c r="H85" s="29"/>
      <c r="I85" s="29"/>
    </row>
    <row r="86" spans="1:9" x14ac:dyDescent="0.35">
      <c r="A86" s="29"/>
      <c r="B86" s="29"/>
      <c r="C86" s="29"/>
      <c r="D86" s="29"/>
      <c r="E86" s="29"/>
      <c r="F86" s="29"/>
      <c r="G86" s="29"/>
      <c r="H86" s="29"/>
      <c r="I86" s="29"/>
    </row>
    <row r="87" spans="1:9" x14ac:dyDescent="0.35">
      <c r="A87" s="29"/>
      <c r="B87" s="29"/>
      <c r="C87" s="29"/>
      <c r="D87" s="29"/>
      <c r="E87" s="29"/>
      <c r="F87" s="29"/>
      <c r="G87" s="29"/>
      <c r="H87" s="29"/>
      <c r="I87" s="29"/>
    </row>
    <row r="88" spans="1:9" x14ac:dyDescent="0.35">
      <c r="A88" s="29"/>
      <c r="B88" s="29"/>
      <c r="C88" s="29"/>
      <c r="D88" s="29"/>
      <c r="E88" s="29"/>
      <c r="F88" s="29"/>
      <c r="G88" s="29"/>
      <c r="H88" s="29"/>
      <c r="I88" s="29"/>
    </row>
    <row r="89" spans="1:9" x14ac:dyDescent="0.35">
      <c r="A89" s="29"/>
      <c r="B89" s="29"/>
      <c r="C89" s="29"/>
      <c r="D89" s="29"/>
      <c r="E89" s="29"/>
      <c r="F89" s="29"/>
      <c r="G89" s="29"/>
      <c r="H89" s="29"/>
      <c r="I89" s="29"/>
    </row>
    <row r="90" spans="1:9" x14ac:dyDescent="0.35">
      <c r="A90" s="29"/>
      <c r="B90" s="29"/>
      <c r="C90" s="29"/>
      <c r="D90" s="29"/>
      <c r="E90" s="29"/>
      <c r="F90" s="29"/>
      <c r="G90" s="29"/>
      <c r="H90" s="29"/>
      <c r="I90" s="29"/>
    </row>
    <row r="91" spans="1:9" x14ac:dyDescent="0.35">
      <c r="A91" s="29"/>
      <c r="B91" s="29"/>
      <c r="C91" s="29"/>
      <c r="D91" s="29"/>
      <c r="E91" s="29"/>
      <c r="F91" s="29"/>
      <c r="G91" s="29"/>
      <c r="H91" s="29"/>
      <c r="I91" s="29"/>
    </row>
    <row r="92" spans="1:9" x14ac:dyDescent="0.35">
      <c r="A92" s="29"/>
      <c r="B92" s="29"/>
      <c r="C92" s="29"/>
      <c r="D92" s="29"/>
      <c r="E92" s="29"/>
      <c r="F92" s="29"/>
      <c r="G92" s="29"/>
      <c r="H92" s="29"/>
      <c r="I92" s="29"/>
    </row>
    <row r="93" spans="1:9" x14ac:dyDescent="0.35">
      <c r="A93" s="29"/>
      <c r="B93" s="29"/>
      <c r="C93" s="29"/>
      <c r="D93" s="29"/>
      <c r="E93" s="29"/>
      <c r="F93" s="29"/>
      <c r="G93" s="29"/>
      <c r="H93" s="29"/>
      <c r="I93" s="29"/>
    </row>
    <row r="94" spans="1:9" x14ac:dyDescent="0.35">
      <c r="A94" s="29"/>
      <c r="B94" s="29"/>
      <c r="C94" s="29"/>
      <c r="D94" s="29"/>
      <c r="E94" s="29"/>
      <c r="F94" s="29"/>
      <c r="G94" s="29"/>
      <c r="H94" s="29"/>
      <c r="I94" s="29"/>
    </row>
    <row r="95" spans="1:9" x14ac:dyDescent="0.35">
      <c r="A95" s="29"/>
      <c r="B95" s="29"/>
      <c r="C95" s="29"/>
      <c r="D95" s="29"/>
      <c r="E95" s="29"/>
      <c r="F95" s="29"/>
      <c r="G95" s="29"/>
      <c r="H95" s="29"/>
      <c r="I95" s="29"/>
    </row>
    <row r="96" spans="1:9" x14ac:dyDescent="0.35">
      <c r="A96" s="29"/>
      <c r="B96" s="29"/>
      <c r="C96" s="29"/>
      <c r="D96" s="29"/>
      <c r="E96" s="29"/>
      <c r="F96" s="29"/>
      <c r="G96" s="29"/>
      <c r="H96" s="29"/>
      <c r="I96" s="29"/>
    </row>
    <row r="97" spans="1:9" x14ac:dyDescent="0.35">
      <c r="A97" s="29"/>
      <c r="B97" s="29"/>
      <c r="C97" s="29"/>
      <c r="D97" s="29"/>
      <c r="E97" s="29"/>
      <c r="F97" s="29"/>
      <c r="G97" s="29"/>
      <c r="H97" s="29"/>
      <c r="I97" s="29"/>
    </row>
    <row r="98" spans="1:9" x14ac:dyDescent="0.35">
      <c r="A98" s="29"/>
      <c r="B98" s="29"/>
      <c r="C98" s="29"/>
      <c r="D98" s="29"/>
      <c r="E98" s="29"/>
      <c r="F98" s="29"/>
      <c r="G98" s="29"/>
      <c r="H98" s="29"/>
      <c r="I98" s="29"/>
    </row>
    <row r="99" spans="1:9" x14ac:dyDescent="0.35">
      <c r="A99" s="29"/>
      <c r="B99" s="29"/>
      <c r="C99" s="29"/>
      <c r="D99" s="29"/>
      <c r="E99" s="29"/>
      <c r="F99" s="29"/>
      <c r="G99" s="29"/>
      <c r="H99" s="29"/>
      <c r="I99" s="29"/>
    </row>
    <row r="100" spans="1:9" x14ac:dyDescent="0.35">
      <c r="A100" s="29"/>
      <c r="B100" s="29"/>
      <c r="C100" s="29"/>
      <c r="D100" s="29"/>
      <c r="E100" s="29"/>
      <c r="F100" s="29"/>
      <c r="G100" s="29"/>
      <c r="H100" s="29"/>
      <c r="I100" s="29"/>
    </row>
    <row r="101" spans="1:9" x14ac:dyDescent="0.35">
      <c r="A101" s="29"/>
      <c r="B101" s="29"/>
      <c r="C101" s="29"/>
      <c r="D101" s="29"/>
      <c r="E101" s="29"/>
      <c r="F101" s="29"/>
      <c r="G101" s="29"/>
      <c r="H101" s="29"/>
      <c r="I101" s="29"/>
    </row>
    <row r="102" spans="1:9" x14ac:dyDescent="0.35">
      <c r="A102" s="29"/>
      <c r="B102" s="29"/>
      <c r="C102" s="29"/>
      <c r="D102" s="29"/>
      <c r="E102" s="29"/>
      <c r="F102" s="29"/>
      <c r="G102" s="29"/>
      <c r="H102" s="29"/>
      <c r="I102" s="29"/>
    </row>
    <row r="103" spans="1:9" x14ac:dyDescent="0.35">
      <c r="A103" s="29"/>
      <c r="B103" s="29"/>
      <c r="C103" s="29"/>
      <c r="D103" s="29"/>
      <c r="E103" s="29"/>
      <c r="F103" s="29"/>
      <c r="G103" s="29"/>
      <c r="H103" s="29"/>
      <c r="I103" s="29"/>
    </row>
    <row r="104" spans="1:9" x14ac:dyDescent="0.35">
      <c r="A104" s="29"/>
      <c r="B104" s="29"/>
      <c r="C104" s="29"/>
      <c r="D104" s="29"/>
      <c r="E104" s="29"/>
      <c r="F104" s="29"/>
      <c r="G104" s="29"/>
      <c r="H104" s="29"/>
      <c r="I104" s="29"/>
    </row>
    <row r="105" spans="1:9" x14ac:dyDescent="0.35">
      <c r="A105" s="29"/>
      <c r="B105" s="29"/>
      <c r="C105" s="29"/>
      <c r="D105" s="29"/>
      <c r="E105" s="29"/>
      <c r="F105" s="29"/>
      <c r="G105" s="29"/>
      <c r="H105" s="29"/>
      <c r="I105" s="29"/>
    </row>
    <row r="106" spans="1:9" x14ac:dyDescent="0.35">
      <c r="A106" s="29"/>
      <c r="B106" s="29"/>
      <c r="C106" s="29"/>
      <c r="D106" s="29"/>
      <c r="E106" s="29"/>
      <c r="F106" s="29"/>
      <c r="G106" s="29"/>
      <c r="H106" s="29"/>
      <c r="I106" s="29"/>
    </row>
    <row r="107" spans="1:9" x14ac:dyDescent="0.35">
      <c r="A107" s="29"/>
      <c r="B107" s="29"/>
      <c r="C107" s="29"/>
      <c r="D107" s="29"/>
      <c r="E107" s="29"/>
      <c r="F107" s="29"/>
      <c r="G107" s="29"/>
      <c r="H107" s="29"/>
      <c r="I107" s="29"/>
    </row>
    <row r="108" spans="1:9" x14ac:dyDescent="0.35">
      <c r="A108" s="29"/>
      <c r="B108" s="29"/>
      <c r="C108" s="29"/>
      <c r="D108" s="29"/>
      <c r="E108" s="29"/>
      <c r="F108" s="29"/>
      <c r="G108" s="29"/>
      <c r="H108" s="29"/>
      <c r="I108" s="29"/>
    </row>
    <row r="109" spans="1:9" x14ac:dyDescent="0.35">
      <c r="A109" s="29"/>
      <c r="B109" s="29"/>
      <c r="C109" s="29"/>
      <c r="D109" s="29"/>
      <c r="E109" s="29"/>
      <c r="F109" s="29"/>
      <c r="G109" s="29"/>
      <c r="H109" s="29"/>
      <c r="I109" s="29"/>
    </row>
    <row r="110" spans="1:9" x14ac:dyDescent="0.35">
      <c r="A110" s="29"/>
      <c r="B110" s="29"/>
      <c r="C110" s="29"/>
      <c r="D110" s="29"/>
      <c r="E110" s="29"/>
      <c r="F110" s="29"/>
      <c r="G110" s="29"/>
      <c r="H110" s="29"/>
      <c r="I110" s="29"/>
    </row>
    <row r="111" spans="1:9" x14ac:dyDescent="0.35">
      <c r="A111" s="29"/>
      <c r="B111" s="29"/>
      <c r="C111" s="29"/>
      <c r="D111" s="29"/>
      <c r="E111" s="29"/>
      <c r="F111" s="29"/>
      <c r="G111" s="29"/>
      <c r="H111" s="29"/>
      <c r="I111" s="29"/>
    </row>
    <row r="112" spans="1:9" x14ac:dyDescent="0.35">
      <c r="A112" s="29"/>
      <c r="B112" s="29"/>
      <c r="C112" s="29"/>
      <c r="D112" s="29"/>
      <c r="E112" s="29"/>
      <c r="F112" s="29"/>
      <c r="G112" s="29"/>
      <c r="H112" s="29"/>
      <c r="I112" s="29"/>
    </row>
    <row r="113" spans="1:9" x14ac:dyDescent="0.35">
      <c r="A113" s="29"/>
      <c r="B113" s="29"/>
      <c r="C113" s="29"/>
      <c r="D113" s="29"/>
      <c r="E113" s="29"/>
      <c r="F113" s="29"/>
      <c r="G113" s="29"/>
      <c r="H113" s="29"/>
      <c r="I113" s="29"/>
    </row>
    <row r="114" spans="1:9" x14ac:dyDescent="0.35">
      <c r="A114" s="29"/>
      <c r="B114" s="29"/>
      <c r="C114" s="29"/>
      <c r="D114" s="29"/>
      <c r="E114" s="29"/>
      <c r="F114" s="29"/>
      <c r="G114" s="29"/>
      <c r="H114" s="29"/>
      <c r="I114" s="29"/>
    </row>
    <row r="115" spans="1:9" x14ac:dyDescent="0.35">
      <c r="A115" s="29"/>
      <c r="B115" s="29"/>
      <c r="C115" s="29"/>
      <c r="D115" s="29"/>
      <c r="E115" s="29"/>
      <c r="F115" s="29"/>
      <c r="G115" s="29"/>
      <c r="H115" s="29"/>
      <c r="I115" s="29"/>
    </row>
    <row r="116" spans="1:9" x14ac:dyDescent="0.35">
      <c r="A116" s="29"/>
      <c r="B116" s="29"/>
      <c r="C116" s="29"/>
      <c r="D116" s="29"/>
      <c r="E116" s="29"/>
      <c r="F116" s="29"/>
      <c r="G116" s="29"/>
      <c r="H116" s="29"/>
      <c r="I116" s="29"/>
    </row>
    <row r="117" spans="1:9" x14ac:dyDescent="0.35">
      <c r="A117" s="29"/>
      <c r="B117" s="29"/>
      <c r="C117" s="29"/>
      <c r="D117" s="29"/>
      <c r="E117" s="29"/>
      <c r="F117" s="29"/>
      <c r="G117" s="29"/>
      <c r="H117" s="29"/>
      <c r="I117" s="29"/>
    </row>
    <row r="118" spans="1:9" x14ac:dyDescent="0.35">
      <c r="A118" s="29"/>
      <c r="B118" s="29"/>
      <c r="C118" s="29"/>
      <c r="D118" s="29"/>
      <c r="E118" s="29"/>
      <c r="F118" s="29"/>
      <c r="G118" s="29"/>
      <c r="H118" s="29"/>
      <c r="I118" s="29"/>
    </row>
    <row r="119" spans="1:9" x14ac:dyDescent="0.35">
      <c r="A119" s="29"/>
      <c r="B119" s="29"/>
      <c r="C119" s="29"/>
      <c r="D119" s="29"/>
      <c r="E119" s="29"/>
      <c r="F119" s="29"/>
      <c r="G119" s="29"/>
      <c r="H119" s="29"/>
      <c r="I119" s="29"/>
    </row>
    <row r="120" spans="1:9" x14ac:dyDescent="0.35">
      <c r="A120" s="29"/>
      <c r="B120" s="29"/>
      <c r="C120" s="29"/>
      <c r="D120" s="29"/>
      <c r="E120" s="29"/>
      <c r="F120" s="29"/>
      <c r="G120" s="29"/>
      <c r="H120" s="29"/>
      <c r="I120" s="29"/>
    </row>
    <row r="121" spans="1:9" x14ac:dyDescent="0.35">
      <c r="A121" s="29"/>
      <c r="B121" s="29"/>
      <c r="C121" s="29"/>
      <c r="D121" s="29"/>
      <c r="E121" s="29"/>
      <c r="F121" s="29"/>
      <c r="G121" s="29"/>
      <c r="H121" s="29"/>
      <c r="I121" s="29"/>
    </row>
    <row r="122" spans="1:9" x14ac:dyDescent="0.35">
      <c r="A122" s="29"/>
      <c r="B122" s="29"/>
      <c r="C122" s="29"/>
      <c r="D122" s="29"/>
      <c r="E122" s="29"/>
      <c r="F122" s="29"/>
      <c r="G122" s="29"/>
      <c r="H122" s="29"/>
      <c r="I122" s="29"/>
    </row>
    <row r="123" spans="1:9" x14ac:dyDescent="0.35">
      <c r="A123" s="29"/>
      <c r="B123" s="29"/>
      <c r="C123" s="29"/>
      <c r="D123" s="29"/>
      <c r="E123" s="29"/>
      <c r="F123" s="29"/>
      <c r="G123" s="29"/>
      <c r="H123" s="29"/>
      <c r="I123" s="29"/>
    </row>
    <row r="124" spans="1:9" x14ac:dyDescent="0.35">
      <c r="A124" s="29"/>
      <c r="B124" s="29"/>
      <c r="C124" s="29"/>
      <c r="D124" s="29"/>
      <c r="E124" s="29"/>
      <c r="F124" s="29"/>
      <c r="G124" s="29"/>
      <c r="H124" s="29"/>
      <c r="I124" s="29"/>
    </row>
    <row r="125" spans="1:9" x14ac:dyDescent="0.35">
      <c r="A125" s="29"/>
      <c r="B125" s="29"/>
      <c r="C125" s="29"/>
      <c r="D125" s="29"/>
      <c r="E125" s="29"/>
      <c r="F125" s="29"/>
      <c r="G125" s="29"/>
      <c r="H125" s="29"/>
      <c r="I125" s="29"/>
    </row>
    <row r="126" spans="1:9" x14ac:dyDescent="0.35">
      <c r="A126" s="29"/>
      <c r="B126" s="29"/>
      <c r="C126" s="29"/>
      <c r="D126" s="29"/>
      <c r="E126" s="29"/>
      <c r="F126" s="29"/>
      <c r="G126" s="29"/>
      <c r="H126" s="29"/>
      <c r="I126" s="29"/>
    </row>
    <row r="127" spans="1:9" x14ac:dyDescent="0.35">
      <c r="A127" s="29"/>
      <c r="B127" s="29"/>
      <c r="C127" s="29"/>
      <c r="D127" s="29"/>
      <c r="E127" s="29"/>
      <c r="F127" s="29"/>
      <c r="G127" s="29"/>
      <c r="H127" s="29"/>
      <c r="I127" s="29"/>
    </row>
    <row r="128" spans="1:9" x14ac:dyDescent="0.35">
      <c r="A128" s="29"/>
      <c r="B128" s="29"/>
      <c r="C128" s="29"/>
      <c r="D128" s="29"/>
      <c r="E128" s="29"/>
      <c r="F128" s="29"/>
      <c r="G128" s="29"/>
      <c r="H128" s="29"/>
      <c r="I128" s="29"/>
    </row>
    <row r="129" spans="1:9" x14ac:dyDescent="0.35">
      <c r="A129" s="29"/>
      <c r="B129" s="29"/>
      <c r="C129" s="29"/>
      <c r="D129" s="29"/>
      <c r="E129" s="29"/>
      <c r="F129" s="29"/>
      <c r="G129" s="29"/>
      <c r="H129" s="29"/>
      <c r="I129" s="29"/>
    </row>
    <row r="130" spans="1:9" x14ac:dyDescent="0.35">
      <c r="A130" s="29"/>
      <c r="B130" s="29"/>
      <c r="C130" s="29"/>
      <c r="D130" s="29"/>
      <c r="E130" s="29"/>
      <c r="F130" s="29"/>
      <c r="G130" s="29"/>
      <c r="H130" s="29"/>
      <c r="I130" s="29"/>
    </row>
    <row r="131" spans="1:9" x14ac:dyDescent="0.35">
      <c r="A131" s="29"/>
      <c r="B131" s="29"/>
      <c r="C131" s="29"/>
      <c r="D131" s="29"/>
      <c r="E131" s="29"/>
      <c r="F131" s="29"/>
      <c r="G131" s="29"/>
      <c r="H131" s="29"/>
      <c r="I131" s="29"/>
    </row>
    <row r="132" spans="1:9" x14ac:dyDescent="0.35">
      <c r="A132" s="29"/>
      <c r="B132" s="29"/>
      <c r="C132" s="29"/>
      <c r="D132" s="29"/>
      <c r="E132" s="29"/>
      <c r="F132" s="29"/>
      <c r="G132" s="29"/>
      <c r="H132" s="29"/>
      <c r="I132" s="29"/>
    </row>
    <row r="133" spans="1:9" x14ac:dyDescent="0.35">
      <c r="A133" s="29"/>
      <c r="B133" s="29"/>
      <c r="C133" s="29"/>
      <c r="D133" s="29"/>
      <c r="E133" s="29"/>
      <c r="F133" s="29"/>
      <c r="G133" s="29"/>
      <c r="H133" s="29"/>
      <c r="I133" s="29"/>
    </row>
    <row r="134" spans="1:9" x14ac:dyDescent="0.35">
      <c r="A134" s="29"/>
      <c r="B134" s="29"/>
      <c r="C134" s="29"/>
      <c r="D134" s="29"/>
      <c r="E134" s="29"/>
      <c r="F134" s="29"/>
      <c r="G134" s="29"/>
      <c r="H134" s="29"/>
      <c r="I134" s="29"/>
    </row>
    <row r="135" spans="1:9" x14ac:dyDescent="0.35">
      <c r="A135" s="29"/>
      <c r="B135" s="29"/>
      <c r="C135" s="29"/>
      <c r="D135" s="29"/>
      <c r="E135" s="29"/>
      <c r="F135" s="29"/>
      <c r="G135" s="29"/>
      <c r="H135" s="29"/>
      <c r="I135" s="29"/>
    </row>
    <row r="136" spans="1:9" x14ac:dyDescent="0.35">
      <c r="A136" s="29"/>
      <c r="B136" s="29"/>
      <c r="C136" s="29"/>
      <c r="D136" s="29"/>
      <c r="E136" s="29"/>
      <c r="F136" s="29"/>
      <c r="G136" s="29"/>
      <c r="H136" s="29"/>
      <c r="I136" s="29"/>
    </row>
    <row r="137" spans="1:9" x14ac:dyDescent="0.35">
      <c r="A137" s="29"/>
      <c r="B137" s="29"/>
      <c r="C137" s="29"/>
      <c r="D137" s="29"/>
      <c r="E137" s="29"/>
      <c r="F137" s="29"/>
      <c r="G137" s="29"/>
      <c r="H137" s="29"/>
      <c r="I137" s="29"/>
    </row>
    <row r="138" spans="1:9" x14ac:dyDescent="0.35">
      <c r="A138" s="29"/>
      <c r="B138" s="29"/>
      <c r="C138" s="29"/>
      <c r="D138" s="29"/>
      <c r="E138" s="29"/>
      <c r="F138" s="29"/>
      <c r="G138" s="29"/>
      <c r="H138" s="29"/>
      <c r="I138" s="29"/>
    </row>
    <row r="139" spans="1:9" x14ac:dyDescent="0.35">
      <c r="A139" s="29"/>
      <c r="B139" s="29"/>
      <c r="C139" s="29"/>
      <c r="D139" s="29"/>
      <c r="E139" s="29"/>
      <c r="F139" s="29"/>
      <c r="G139" s="29"/>
      <c r="H139" s="29"/>
      <c r="I139" s="29"/>
    </row>
    <row r="140" spans="1:9" x14ac:dyDescent="0.35">
      <c r="A140" s="29"/>
      <c r="B140" s="29"/>
      <c r="C140" s="29"/>
      <c r="D140" s="29"/>
      <c r="E140" s="29"/>
      <c r="F140" s="29"/>
      <c r="G140" s="29"/>
      <c r="H140" s="29"/>
      <c r="I140" s="29"/>
    </row>
    <row r="141" spans="1:9" x14ac:dyDescent="0.35">
      <c r="A141" s="29"/>
      <c r="B141" s="29"/>
      <c r="C141" s="29"/>
      <c r="D141" s="29"/>
      <c r="E141" s="29"/>
      <c r="F141" s="29"/>
      <c r="G141" s="29"/>
      <c r="H141" s="29"/>
      <c r="I141" s="29"/>
    </row>
    <row r="142" spans="1:9" x14ac:dyDescent="0.35">
      <c r="A142" s="29"/>
      <c r="B142" s="29"/>
      <c r="C142" s="29"/>
      <c r="D142" s="29"/>
      <c r="E142" s="29"/>
      <c r="F142" s="29"/>
      <c r="G142" s="29"/>
      <c r="H142" s="29"/>
      <c r="I142" s="29"/>
    </row>
    <row r="143" spans="1:9" x14ac:dyDescent="0.35">
      <c r="A143" s="29"/>
      <c r="B143" s="29"/>
      <c r="C143" s="29"/>
      <c r="D143" s="29"/>
      <c r="E143" s="29"/>
      <c r="F143" s="29"/>
      <c r="G143" s="29"/>
      <c r="H143" s="29"/>
      <c r="I143" s="29"/>
    </row>
    <row r="144" spans="1:9" x14ac:dyDescent="0.35">
      <c r="A144" s="29"/>
      <c r="B144" s="29"/>
      <c r="C144" s="29"/>
      <c r="D144" s="29"/>
      <c r="E144" s="29"/>
      <c r="F144" s="29"/>
      <c r="G144" s="29"/>
      <c r="H144" s="29"/>
      <c r="I144" s="29"/>
    </row>
    <row r="145" spans="1:9" x14ac:dyDescent="0.35">
      <c r="A145" s="29"/>
      <c r="B145" s="29"/>
      <c r="C145" s="29"/>
      <c r="D145" s="29"/>
      <c r="E145" s="29"/>
      <c r="F145" s="29"/>
      <c r="G145" s="29"/>
      <c r="H145" s="29"/>
      <c r="I145" s="29"/>
    </row>
    <row r="146" spans="1:9" x14ac:dyDescent="0.35">
      <c r="A146" s="29"/>
      <c r="B146" s="29"/>
      <c r="C146" s="29"/>
      <c r="D146" s="29"/>
      <c r="E146" s="29"/>
      <c r="F146" s="29"/>
      <c r="G146" s="29"/>
      <c r="H146" s="29"/>
      <c r="I146" s="29"/>
    </row>
    <row r="147" spans="1:9" x14ac:dyDescent="0.35">
      <c r="A147" s="29"/>
      <c r="B147" s="29"/>
      <c r="C147" s="29"/>
      <c r="D147" s="29"/>
      <c r="E147" s="29"/>
      <c r="F147" s="29"/>
      <c r="G147" s="29"/>
      <c r="H147" s="29"/>
      <c r="I147" s="29"/>
    </row>
    <row r="148" spans="1:9" x14ac:dyDescent="0.35">
      <c r="A148" s="29"/>
      <c r="B148" s="29"/>
      <c r="C148" s="29"/>
      <c r="D148" s="29"/>
      <c r="E148" s="29"/>
      <c r="F148" s="29"/>
      <c r="G148" s="29"/>
      <c r="H148" s="29"/>
      <c r="I148" s="29"/>
    </row>
    <row r="149" spans="1:9" x14ac:dyDescent="0.35">
      <c r="A149" s="29"/>
      <c r="B149" s="29"/>
      <c r="C149" s="29"/>
      <c r="D149" s="29"/>
      <c r="E149" s="29"/>
      <c r="F149" s="29"/>
      <c r="G149" s="29"/>
      <c r="H149" s="29"/>
      <c r="I149" s="29"/>
    </row>
    <row r="150" spans="1:9" x14ac:dyDescent="0.35">
      <c r="A150" s="29"/>
      <c r="B150" s="29"/>
      <c r="C150" s="29"/>
      <c r="D150" s="29"/>
      <c r="E150" s="29"/>
      <c r="F150" s="29"/>
      <c r="G150" s="29"/>
      <c r="H150" s="29"/>
      <c r="I150" s="29"/>
    </row>
    <row r="151" spans="1:9" x14ac:dyDescent="0.35">
      <c r="A151" s="29"/>
      <c r="B151" s="29"/>
      <c r="C151" s="29"/>
      <c r="D151" s="29"/>
      <c r="E151" s="29"/>
      <c r="F151" s="29"/>
      <c r="G151" s="29"/>
      <c r="H151" s="29"/>
      <c r="I151" s="29"/>
    </row>
    <row r="152" spans="1:9" x14ac:dyDescent="0.35">
      <c r="A152" s="29"/>
      <c r="B152" s="29"/>
      <c r="C152" s="29"/>
      <c r="D152" s="29"/>
      <c r="E152" s="29"/>
      <c r="F152" s="29"/>
      <c r="G152" s="29"/>
      <c r="H152" s="29"/>
      <c r="I152" s="29"/>
    </row>
    <row r="153" spans="1:9" x14ac:dyDescent="0.35">
      <c r="A153" s="29"/>
      <c r="B153" s="29"/>
      <c r="C153" s="29"/>
      <c r="D153" s="29"/>
      <c r="E153" s="29"/>
      <c r="F153" s="29"/>
      <c r="G153" s="29"/>
      <c r="H153" s="29"/>
      <c r="I153" s="29"/>
    </row>
    <row r="154" spans="1:9" x14ac:dyDescent="0.35">
      <c r="A154" s="29"/>
      <c r="B154" s="29"/>
      <c r="C154" s="29"/>
      <c r="D154" s="29"/>
      <c r="E154" s="29"/>
      <c r="F154" s="29"/>
      <c r="G154" s="29"/>
      <c r="H154" s="29"/>
      <c r="I154" s="29"/>
    </row>
    <row r="155" spans="1:9" x14ac:dyDescent="0.35">
      <c r="A155" s="29"/>
      <c r="B155" s="29"/>
      <c r="C155" s="29"/>
      <c r="D155" s="29"/>
      <c r="E155" s="29"/>
      <c r="F155" s="29"/>
      <c r="G155" s="29"/>
      <c r="H155" s="29"/>
      <c r="I155" s="29"/>
    </row>
    <row r="156" spans="1:9" x14ac:dyDescent="0.35">
      <c r="A156" s="29"/>
      <c r="B156" s="29"/>
      <c r="C156" s="29"/>
      <c r="D156" s="29"/>
      <c r="E156" s="29"/>
      <c r="F156" s="29"/>
      <c r="G156" s="29"/>
      <c r="H156" s="29"/>
      <c r="I156" s="29"/>
    </row>
    <row r="157" spans="1:9" x14ac:dyDescent="0.35">
      <c r="A157" s="29"/>
      <c r="B157" s="29"/>
      <c r="C157" s="29"/>
      <c r="D157" s="29"/>
      <c r="E157" s="29"/>
      <c r="F157" s="29"/>
      <c r="G157" s="29"/>
      <c r="H157" s="29"/>
      <c r="I157" s="29"/>
    </row>
    <row r="158" spans="1:9" x14ac:dyDescent="0.35">
      <c r="A158" s="29"/>
      <c r="B158" s="29"/>
      <c r="C158" s="29"/>
      <c r="D158" s="29"/>
      <c r="E158" s="29"/>
      <c r="F158" s="29"/>
      <c r="G158" s="29"/>
      <c r="H158" s="29"/>
      <c r="I158" s="29"/>
    </row>
    <row r="159" spans="1:9" x14ac:dyDescent="0.35">
      <c r="A159" s="29"/>
      <c r="B159" s="29"/>
      <c r="C159" s="29"/>
      <c r="D159" s="29"/>
      <c r="E159" s="29"/>
      <c r="F159" s="29"/>
      <c r="G159" s="29"/>
      <c r="H159" s="29"/>
      <c r="I159" s="29"/>
    </row>
    <row r="160" spans="1:9" x14ac:dyDescent="0.35">
      <c r="A160" s="29"/>
      <c r="B160" s="29"/>
      <c r="C160" s="29"/>
      <c r="D160" s="29"/>
      <c r="E160" s="29"/>
      <c r="F160" s="29"/>
      <c r="G160" s="29"/>
      <c r="H160" s="29"/>
      <c r="I160" s="29"/>
    </row>
    <row r="161" spans="1:9" x14ac:dyDescent="0.35">
      <c r="A161" s="29"/>
      <c r="B161" s="29"/>
      <c r="C161" s="29"/>
      <c r="D161" s="29"/>
      <c r="E161" s="29"/>
      <c r="F161" s="29"/>
      <c r="G161" s="29"/>
      <c r="H161" s="29"/>
      <c r="I161" s="29"/>
    </row>
    <row r="162" spans="1:9" x14ac:dyDescent="0.35">
      <c r="A162" s="29"/>
      <c r="B162" s="29"/>
      <c r="C162" s="29"/>
      <c r="D162" s="29"/>
      <c r="E162" s="29"/>
      <c r="F162" s="29"/>
      <c r="G162" s="29"/>
      <c r="H162" s="29"/>
      <c r="I162" s="29"/>
    </row>
    <row r="163" spans="1:9" x14ac:dyDescent="0.35">
      <c r="A163" s="29"/>
      <c r="B163" s="29"/>
      <c r="C163" s="29"/>
      <c r="D163" s="29"/>
      <c r="E163" s="29"/>
      <c r="F163" s="29"/>
      <c r="G163" s="29"/>
      <c r="H163" s="29"/>
      <c r="I163" s="29"/>
    </row>
    <row r="164" spans="1:9" x14ac:dyDescent="0.35">
      <c r="A164" s="29"/>
      <c r="B164" s="29"/>
      <c r="C164" s="29"/>
      <c r="D164" s="29"/>
      <c r="E164" s="29"/>
      <c r="F164" s="29"/>
      <c r="G164" s="29"/>
      <c r="H164" s="29"/>
      <c r="I164" s="29"/>
    </row>
    <row r="165" spans="1:9" x14ac:dyDescent="0.35">
      <c r="A165" s="29"/>
      <c r="B165" s="29"/>
      <c r="C165" s="29"/>
      <c r="D165" s="29"/>
      <c r="E165" s="29"/>
      <c r="F165" s="29"/>
      <c r="G165" s="29"/>
      <c r="H165" s="29"/>
      <c r="I165" s="29"/>
    </row>
    <row r="166" spans="1:9" x14ac:dyDescent="0.35">
      <c r="A166" s="29"/>
      <c r="B166" s="29"/>
      <c r="C166" s="29"/>
      <c r="D166" s="29"/>
      <c r="E166" s="29"/>
      <c r="F166" s="29"/>
      <c r="G166" s="29"/>
      <c r="H166" s="29"/>
      <c r="I166" s="29"/>
    </row>
    <row r="167" spans="1:9" x14ac:dyDescent="0.35">
      <c r="A167" s="29"/>
      <c r="B167" s="29"/>
      <c r="C167" s="29"/>
      <c r="D167" s="29"/>
      <c r="E167" s="29"/>
      <c r="F167" s="29"/>
      <c r="G167" s="29"/>
      <c r="H167" s="29"/>
      <c r="I167" s="29"/>
    </row>
    <row r="168" spans="1:9" x14ac:dyDescent="0.35">
      <c r="A168" s="29"/>
      <c r="B168" s="29"/>
      <c r="C168" s="29"/>
      <c r="D168" s="29"/>
      <c r="E168" s="29"/>
      <c r="F168" s="29"/>
      <c r="G168" s="29"/>
      <c r="H168" s="29"/>
      <c r="I168" s="29"/>
    </row>
    <row r="169" spans="1:9" x14ac:dyDescent="0.35">
      <c r="A169" s="29"/>
      <c r="B169" s="29"/>
      <c r="C169" s="29"/>
      <c r="D169" s="29"/>
      <c r="E169" s="29"/>
      <c r="F169" s="29"/>
      <c r="G169" s="29"/>
      <c r="H169" s="29"/>
      <c r="I169" s="29"/>
    </row>
    <row r="170" spans="1:9" x14ac:dyDescent="0.35">
      <c r="A170" s="29"/>
      <c r="B170" s="29"/>
      <c r="C170" s="29"/>
      <c r="D170" s="29"/>
      <c r="E170" s="29"/>
      <c r="F170" s="29"/>
      <c r="G170" s="29"/>
      <c r="H170" s="29"/>
      <c r="I170" s="29"/>
    </row>
    <row r="171" spans="1:9" x14ac:dyDescent="0.35">
      <c r="A171" s="29"/>
      <c r="B171" s="29"/>
      <c r="C171" s="29"/>
      <c r="D171" s="29"/>
      <c r="E171" s="29"/>
      <c r="F171" s="29"/>
      <c r="G171" s="29"/>
      <c r="H171" s="29"/>
      <c r="I171" s="29"/>
    </row>
    <row r="172" spans="1:9" x14ac:dyDescent="0.35">
      <c r="A172" s="29"/>
      <c r="B172" s="29"/>
      <c r="C172" s="29"/>
      <c r="D172" s="29"/>
      <c r="E172" s="29"/>
      <c r="F172" s="29"/>
      <c r="G172" s="29"/>
      <c r="H172" s="29"/>
      <c r="I172" s="29"/>
    </row>
  </sheetData>
  <mergeCells count="19">
    <mergeCell ref="A77:B77"/>
    <mergeCell ref="A78:B78"/>
    <mergeCell ref="A79:B79"/>
    <mergeCell ref="A80:B80"/>
    <mergeCell ref="A81:B81"/>
    <mergeCell ref="A22:I22"/>
    <mergeCell ref="A1:I1"/>
    <mergeCell ref="D16:E16"/>
    <mergeCell ref="D17:E17"/>
    <mergeCell ref="D18:E18"/>
    <mergeCell ref="D73:E73"/>
    <mergeCell ref="D74:E74"/>
    <mergeCell ref="D35:E35"/>
    <mergeCell ref="D36:E36"/>
    <mergeCell ref="D37:E37"/>
    <mergeCell ref="D72:E72"/>
    <mergeCell ref="D53:E53"/>
    <mergeCell ref="D55:E55"/>
    <mergeCell ref="D54:E54"/>
  </mergeCells>
  <hyperlinks>
    <hyperlink ref="H16" r:id="rId1" display="https://symphonyvsts.visualstudio.com/iConfirm/_workitems/edit/1863854" xr:uid="{9CFAB727-4E93-42A6-AEDD-1695DFF5ABD0}"/>
  </hyperlinks>
  <pageMargins left="0.7" right="0.7" top="0.75" bottom="0.75" header="0.3" footer="0.3"/>
  <pageSetup paperSize="9" orientation="portrait" r:id="rId2"/>
  <ignoredErrors>
    <ignoredError sqref="C8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47132-B142-4DEC-956E-0D315585F5A4}">
  <dimension ref="A1:M12"/>
  <sheetViews>
    <sheetView zoomScale="60" zoomScaleNormal="60" workbookViewId="0">
      <selection activeCell="E14" sqref="E14"/>
    </sheetView>
  </sheetViews>
  <sheetFormatPr defaultRowHeight="14.5" x14ac:dyDescent="0.35"/>
  <cols>
    <col min="1" max="1" width="29.26953125" customWidth="1"/>
    <col min="2" max="2" width="58" customWidth="1"/>
  </cols>
  <sheetData>
    <row r="1" spans="1:13" ht="29" x14ac:dyDescent="0.35">
      <c r="A1" s="55" t="s">
        <v>57</v>
      </c>
      <c r="B1" s="55" t="s">
        <v>102</v>
      </c>
      <c r="C1" s="55" t="s">
        <v>209</v>
      </c>
      <c r="D1" s="55" t="s">
        <v>210</v>
      </c>
      <c r="E1" s="55" t="s">
        <v>211</v>
      </c>
      <c r="F1" s="55" t="s">
        <v>60</v>
      </c>
      <c r="G1" s="55" t="s">
        <v>212</v>
      </c>
      <c r="H1" s="4"/>
      <c r="I1" s="4"/>
      <c r="J1" s="4"/>
    </row>
    <row r="2" spans="1:13" ht="37.5" customHeight="1" x14ac:dyDescent="0.35">
      <c r="A2" s="21">
        <v>1863854</v>
      </c>
      <c r="B2" s="22" t="s">
        <v>213</v>
      </c>
      <c r="C2" s="22" t="s">
        <v>214</v>
      </c>
      <c r="D2" s="22" t="s">
        <v>215</v>
      </c>
      <c r="E2" s="22"/>
      <c r="F2" s="22" t="s">
        <v>216</v>
      </c>
      <c r="G2" s="22">
        <v>60</v>
      </c>
      <c r="H2" s="4"/>
      <c r="I2" s="4"/>
      <c r="J2" s="4"/>
      <c r="K2" s="3" t="s">
        <v>236</v>
      </c>
      <c r="L2" t="s">
        <v>238</v>
      </c>
      <c r="M2" s="3" t="s">
        <v>240</v>
      </c>
    </row>
    <row r="3" spans="1:13" ht="37.5" customHeight="1" x14ac:dyDescent="0.35">
      <c r="A3" s="21">
        <v>1876925</v>
      </c>
      <c r="B3" s="22" t="s">
        <v>217</v>
      </c>
      <c r="C3" s="22" t="s">
        <v>214</v>
      </c>
      <c r="D3" s="22" t="s">
        <v>218</v>
      </c>
      <c r="E3" s="22"/>
      <c r="F3" s="22" t="s">
        <v>216</v>
      </c>
      <c r="G3" s="22">
        <v>18</v>
      </c>
      <c r="H3" s="4"/>
      <c r="I3" s="4"/>
      <c r="J3" s="4"/>
      <c r="K3" t="s">
        <v>237</v>
      </c>
      <c r="L3" t="s">
        <v>239</v>
      </c>
    </row>
    <row r="4" spans="1:13" ht="37.5" customHeight="1" x14ac:dyDescent="0.35">
      <c r="A4" s="21">
        <v>1892914</v>
      </c>
      <c r="B4" s="22" t="s">
        <v>219</v>
      </c>
      <c r="C4" s="22" t="s">
        <v>214</v>
      </c>
      <c r="D4" s="22" t="s">
        <v>218</v>
      </c>
      <c r="E4" s="22">
        <v>33</v>
      </c>
      <c r="F4" s="22" t="s">
        <v>216</v>
      </c>
      <c r="G4" s="22">
        <v>45</v>
      </c>
      <c r="H4" s="4"/>
      <c r="I4" s="4"/>
      <c r="J4" s="4"/>
      <c r="K4" t="s">
        <v>237</v>
      </c>
      <c r="L4" t="s">
        <v>239</v>
      </c>
    </row>
    <row r="5" spans="1:13" s="62" customFormat="1" ht="37.5" customHeight="1" x14ac:dyDescent="0.35">
      <c r="A5" s="25">
        <v>1898950</v>
      </c>
      <c r="B5" s="61" t="s">
        <v>220</v>
      </c>
      <c r="C5" s="61" t="s">
        <v>214</v>
      </c>
      <c r="D5" s="61" t="s">
        <v>218</v>
      </c>
      <c r="E5" s="61">
        <v>8</v>
      </c>
      <c r="F5" s="61" t="s">
        <v>216</v>
      </c>
      <c r="G5" s="61">
        <v>40</v>
      </c>
      <c r="H5" s="23"/>
      <c r="I5" s="23"/>
      <c r="J5" s="23"/>
    </row>
    <row r="6" spans="1:13" ht="37.5" customHeight="1" x14ac:dyDescent="0.35">
      <c r="A6" s="25">
        <v>1899374</v>
      </c>
      <c r="B6" s="61" t="s">
        <v>221</v>
      </c>
      <c r="C6" s="61" t="s">
        <v>222</v>
      </c>
      <c r="D6" s="61" t="s">
        <v>223</v>
      </c>
      <c r="E6" s="61"/>
      <c r="F6" s="61" t="s">
        <v>216</v>
      </c>
      <c r="G6" s="61"/>
    </row>
    <row r="7" spans="1:13" ht="37.5" customHeight="1" x14ac:dyDescent="0.35">
      <c r="A7" s="25">
        <v>1896188</v>
      </c>
      <c r="B7" s="61" t="s">
        <v>224</v>
      </c>
      <c r="C7" s="61" t="s">
        <v>214</v>
      </c>
      <c r="D7" s="61" t="s">
        <v>225</v>
      </c>
      <c r="E7" s="61">
        <v>8</v>
      </c>
      <c r="F7" s="61" t="s">
        <v>216</v>
      </c>
      <c r="G7" s="61"/>
      <c r="H7" s="4"/>
      <c r="I7" s="4"/>
      <c r="J7" s="4"/>
    </row>
    <row r="8" spans="1:13" ht="37.5" customHeight="1" x14ac:dyDescent="0.35">
      <c r="A8" s="25">
        <v>1901285</v>
      </c>
      <c r="B8" s="61" t="s">
        <v>226</v>
      </c>
      <c r="C8" s="61" t="s">
        <v>222</v>
      </c>
      <c r="D8" s="61" t="s">
        <v>225</v>
      </c>
      <c r="E8" s="61"/>
      <c r="F8" s="61" t="s">
        <v>216</v>
      </c>
      <c r="G8" s="61"/>
    </row>
    <row r="9" spans="1:13" ht="37.5" customHeight="1" x14ac:dyDescent="0.35">
      <c r="A9" s="25">
        <v>1882710</v>
      </c>
      <c r="B9" s="61" t="s">
        <v>227</v>
      </c>
      <c r="C9" s="61" t="s">
        <v>214</v>
      </c>
      <c r="D9" s="61" t="s">
        <v>228</v>
      </c>
      <c r="E9" s="61"/>
      <c r="F9" s="61" t="s">
        <v>216</v>
      </c>
      <c r="G9" s="61">
        <v>30</v>
      </c>
      <c r="H9" s="22" t="s">
        <v>231</v>
      </c>
      <c r="I9" s="22" t="s">
        <v>232</v>
      </c>
      <c r="J9" s="22" t="s">
        <v>233</v>
      </c>
    </row>
    <row r="10" spans="1:13" ht="37.5" customHeight="1" x14ac:dyDescent="0.35">
      <c r="A10" s="25">
        <v>1854596</v>
      </c>
      <c r="B10" s="61" t="s">
        <v>229</v>
      </c>
      <c r="C10" s="61" t="s">
        <v>214</v>
      </c>
      <c r="D10" s="61" t="s">
        <v>218</v>
      </c>
      <c r="E10" s="61">
        <v>5</v>
      </c>
      <c r="F10" s="61" t="s">
        <v>216</v>
      </c>
      <c r="G10" s="61">
        <v>50</v>
      </c>
      <c r="H10" s="23"/>
      <c r="I10" s="23"/>
      <c r="J10" s="23" t="s">
        <v>234</v>
      </c>
      <c r="K10" t="s">
        <v>235</v>
      </c>
    </row>
    <row r="11" spans="1:13" x14ac:dyDescent="0.35">
      <c r="A11" s="53"/>
    </row>
    <row r="12" spans="1:13" ht="29" x14ac:dyDescent="0.35">
      <c r="A12" s="54" t="s">
        <v>230</v>
      </c>
    </row>
  </sheetData>
  <autoFilter ref="A1:G10" xr:uid="{720790F4-8149-4694-9EAE-8C414E1084C8}"/>
  <hyperlinks>
    <hyperlink ref="A2" r:id="rId1" display="https://symphonyvsts.visualstudio.com/iConfirm/_workitems/edit/1863854" xr:uid="{E81F1B68-368A-46AC-825B-2189CB4198CA}"/>
    <hyperlink ref="A3" r:id="rId2" display="https://symphonyvsts.visualstudio.com/iConfirm/_workitems/edit/1876925" xr:uid="{142AF203-9EFE-4A66-B1C4-004D5A17F828}"/>
    <hyperlink ref="A4" r:id="rId3" display="https://symphonyvsts.visualstudio.com/iConfirm/_workitems/edit/1892914" xr:uid="{6F199D44-6C5D-42C1-AF72-C10EB79F8C71}"/>
    <hyperlink ref="A5" r:id="rId4" display="https://symphonyvsts.visualstudio.com/iConfirm/_workitems/edit/1898950" xr:uid="{78B023A8-07F9-46C2-B652-C74023143383}"/>
    <hyperlink ref="A6" r:id="rId5" display="https://symphonyvsts.visualstudio.com/iConfirm/_workitems/edit/1899374" xr:uid="{7CBC20EE-AC3B-4CC7-9C95-F9D934AC3066}"/>
    <hyperlink ref="A7" r:id="rId6" display="https://symphonyvsts.visualstudio.com/iConfirm/_workitems/edit/1896188" xr:uid="{0B672898-0011-4635-A162-87D001BF5501}"/>
    <hyperlink ref="A8" r:id="rId7" display="https://symphonyvsts.visualstudio.com/iConfirm/_workitems/edit/1901285" xr:uid="{6D28E5A4-8B75-44AB-BFD2-75598C2B4A37}"/>
    <hyperlink ref="A9" r:id="rId8" display="https://symphonyvsts.visualstudio.com/iConfirm/_workitems/edit/1882710" xr:uid="{D127EE2F-9B0B-4EF3-A0D7-56E18B4A7953}"/>
    <hyperlink ref="A10" r:id="rId9" display="https://symphonyvsts.visualstudio.com/iConfirm/_workitems/edit/1854596" xr:uid="{FDFF83A3-6CF5-4DBD-8EDD-EECE8702AADB}"/>
    <hyperlink ref="A12" r:id="rId10" display="https://symphonyvsts.visualstudio.com/iConfirm/_queries?tempQueryId=a76454ce-1a8c-4299-b9de-d2533f8aad6c" xr:uid="{4365CDA6-77AC-462D-A1F9-BF10CB90518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ED795-B5C3-48C7-A8B1-374133AE9A3C}">
  <dimension ref="A1:E8"/>
  <sheetViews>
    <sheetView workbookViewId="0">
      <selection activeCell="E11" sqref="E11"/>
    </sheetView>
  </sheetViews>
  <sheetFormatPr defaultRowHeight="14.5" x14ac:dyDescent="0.35"/>
  <cols>
    <col min="1" max="1" width="36.26953125" customWidth="1"/>
    <col min="4" max="4" width="23.1796875" bestFit="1" customWidth="1"/>
  </cols>
  <sheetData>
    <row r="1" spans="1:5" x14ac:dyDescent="0.35">
      <c r="A1" s="40" t="s">
        <v>201</v>
      </c>
      <c r="B1" s="39" t="s">
        <v>202</v>
      </c>
      <c r="D1" s="40" t="s">
        <v>18</v>
      </c>
      <c r="E1" s="39" t="s">
        <v>202</v>
      </c>
    </row>
    <row r="2" spans="1:5" ht="18.5" customHeight="1" x14ac:dyDescent="0.35">
      <c r="A2" s="35" t="s">
        <v>10</v>
      </c>
      <c r="B2" s="4" t="s">
        <v>203</v>
      </c>
      <c r="D2" s="35" t="s">
        <v>11</v>
      </c>
      <c r="E2" s="4" t="s">
        <v>203</v>
      </c>
    </row>
    <row r="3" spans="1:5" ht="18.5" customHeight="1" x14ac:dyDescent="0.35">
      <c r="A3" s="35" t="s">
        <v>12</v>
      </c>
      <c r="B3" s="4" t="s">
        <v>203</v>
      </c>
      <c r="D3" s="35" t="s">
        <v>14</v>
      </c>
      <c r="E3" s="4" t="s">
        <v>203</v>
      </c>
    </row>
    <row r="4" spans="1:5" ht="18.5" customHeight="1" x14ac:dyDescent="0.35">
      <c r="A4" s="35" t="s">
        <v>13</v>
      </c>
      <c r="B4" s="4" t="s">
        <v>203</v>
      </c>
      <c r="D4" s="35"/>
      <c r="E4" s="4"/>
    </row>
    <row r="5" spans="1:5" ht="18.5" customHeight="1" x14ac:dyDescent="0.35">
      <c r="A5" s="35" t="s">
        <v>15</v>
      </c>
      <c r="B5" s="4" t="s">
        <v>204</v>
      </c>
      <c r="D5" s="35"/>
      <c r="E5" s="4"/>
    </row>
    <row r="6" spans="1:5" ht="18.5" customHeight="1" x14ac:dyDescent="0.35">
      <c r="A6" s="35" t="s">
        <v>16</v>
      </c>
      <c r="B6" s="4" t="s">
        <v>204</v>
      </c>
    </row>
    <row r="7" spans="1:5" ht="18.5" customHeight="1" x14ac:dyDescent="0.35"/>
    <row r="8" spans="1:5" ht="18.5" customHeight="1"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F80EA-9A88-42A4-8014-F0A46CEBB625}">
  <dimension ref="A1:F5"/>
  <sheetViews>
    <sheetView workbookViewId="0">
      <selection activeCell="J12" sqref="J12"/>
    </sheetView>
  </sheetViews>
  <sheetFormatPr defaultRowHeight="14.5" x14ac:dyDescent="0.35"/>
  <sheetData>
    <row r="1" spans="1:6" x14ac:dyDescent="0.35">
      <c r="B1" t="s">
        <v>49</v>
      </c>
      <c r="C1" t="s">
        <v>50</v>
      </c>
      <c r="D1" t="s">
        <v>51</v>
      </c>
      <c r="F1" t="s">
        <v>52</v>
      </c>
    </row>
    <row r="2" spans="1:6" x14ac:dyDescent="0.35">
      <c r="A2" t="s">
        <v>53</v>
      </c>
    </row>
    <row r="3" spans="1:6" x14ac:dyDescent="0.35">
      <c r="A3" t="s">
        <v>54</v>
      </c>
    </row>
    <row r="4" spans="1:6" x14ac:dyDescent="0.35">
      <c r="A4" t="s">
        <v>55</v>
      </c>
    </row>
    <row r="5" spans="1:6" x14ac:dyDescent="0.35">
      <c r="A5" t="s">
        <v>56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54EF1-34BD-413A-B16F-8D52BF16527A}">
  <sheetPr>
    <tabColor theme="9" tint="-0.249977111117893"/>
  </sheetPr>
  <dimension ref="A1:X5"/>
  <sheetViews>
    <sheetView zoomScale="70" zoomScaleNormal="70" workbookViewId="0">
      <pane ySplit="1" topLeftCell="A2" activePane="bottomLeft" state="frozen"/>
      <selection pane="bottomLeft" activeCell="A4" sqref="A4"/>
    </sheetView>
  </sheetViews>
  <sheetFormatPr defaultRowHeight="14.5" x14ac:dyDescent="0.35"/>
  <cols>
    <col min="1" max="1" width="10.1796875" customWidth="1"/>
    <col min="2" max="2" width="14.453125" bestFit="1" customWidth="1"/>
    <col min="3" max="3" width="57.26953125" style="3" customWidth="1"/>
    <col min="4" max="4" width="13.26953125" customWidth="1"/>
    <col min="5" max="5" width="9.1796875" customWidth="1"/>
    <col min="9" max="10" width="10.54296875" customWidth="1"/>
    <col min="11" max="11" width="10" customWidth="1"/>
    <col min="12" max="12" width="9.81640625" customWidth="1"/>
    <col min="13" max="13" width="10.26953125" customWidth="1"/>
    <col min="14" max="14" width="22.1796875" style="3" customWidth="1"/>
    <col min="16" max="16" width="13.453125" customWidth="1"/>
    <col min="17" max="17" width="18.453125" bestFit="1" customWidth="1"/>
    <col min="19" max="19" width="19.26953125" customWidth="1"/>
  </cols>
  <sheetData>
    <row r="1" spans="1:24" s="3" customFormat="1" ht="53.25" customHeight="1" x14ac:dyDescent="0.35">
      <c r="A1" s="1" t="s">
        <v>57</v>
      </c>
      <c r="B1" s="1" t="s">
        <v>58</v>
      </c>
      <c r="C1" s="1" t="s">
        <v>59</v>
      </c>
      <c r="D1" s="1" t="s">
        <v>60</v>
      </c>
      <c r="E1" s="1" t="s">
        <v>61</v>
      </c>
      <c r="F1" s="1" t="s">
        <v>62</v>
      </c>
      <c r="G1" s="1" t="s">
        <v>63</v>
      </c>
      <c r="H1" s="1" t="s">
        <v>64</v>
      </c>
      <c r="I1" s="1" t="s">
        <v>65</v>
      </c>
      <c r="J1" s="1" t="s">
        <v>66</v>
      </c>
      <c r="K1" s="1" t="s">
        <v>67</v>
      </c>
      <c r="L1" s="1" t="s">
        <v>68</v>
      </c>
      <c r="M1" s="1" t="s">
        <v>69</v>
      </c>
      <c r="N1" s="1" t="s">
        <v>70</v>
      </c>
      <c r="O1" s="1" t="s">
        <v>71</v>
      </c>
      <c r="P1" s="1" t="s">
        <v>72</v>
      </c>
      <c r="Q1" s="1" t="s">
        <v>73</v>
      </c>
      <c r="R1" s="1" t="s">
        <v>74</v>
      </c>
      <c r="S1" s="1" t="s">
        <v>75</v>
      </c>
      <c r="T1" s="1" t="s">
        <v>76</v>
      </c>
      <c r="U1" s="1" t="s">
        <v>77</v>
      </c>
      <c r="V1" s="1" t="s">
        <v>78</v>
      </c>
      <c r="W1" s="1" t="s">
        <v>79</v>
      </c>
      <c r="X1" s="2" t="s">
        <v>80</v>
      </c>
    </row>
    <row r="2" spans="1:24" ht="37.5" customHeight="1" x14ac:dyDescent="0.35">
      <c r="A2" s="4">
        <v>1872472</v>
      </c>
      <c r="B2" s="4" t="s">
        <v>81</v>
      </c>
      <c r="C2" s="39" t="s">
        <v>82</v>
      </c>
      <c r="D2" s="36"/>
      <c r="E2" s="4"/>
      <c r="F2" s="4">
        <v>45</v>
      </c>
      <c r="G2" s="4">
        <v>0</v>
      </c>
      <c r="H2" s="4">
        <v>0</v>
      </c>
      <c r="I2" s="4">
        <f>SUM(F2:H2)*Capacity_8_hrs!$B$85</f>
        <v>6.75</v>
      </c>
      <c r="J2" s="4">
        <f>SUM(F2:I2)</f>
        <v>51.75</v>
      </c>
      <c r="K2" s="4">
        <v>4</v>
      </c>
      <c r="L2" s="4">
        <v>6</v>
      </c>
      <c r="M2" s="4">
        <f>SUM(J2:L2)</f>
        <v>61.75</v>
      </c>
      <c r="N2" s="36"/>
      <c r="O2" s="4"/>
      <c r="P2" s="6"/>
      <c r="Q2" s="36" t="s">
        <v>244</v>
      </c>
      <c r="R2" s="6"/>
      <c r="S2" s="6"/>
      <c r="T2" s="6"/>
      <c r="U2" s="6"/>
      <c r="V2" s="6"/>
      <c r="W2" s="4"/>
      <c r="X2" s="4"/>
    </row>
    <row r="3" spans="1:24" ht="35.5" customHeight="1" x14ac:dyDescent="0.35">
      <c r="A3" s="4">
        <v>1846206</v>
      </c>
      <c r="B3" s="4" t="s">
        <v>81</v>
      </c>
      <c r="C3" s="39" t="s">
        <v>83</v>
      </c>
      <c r="D3" s="36"/>
      <c r="E3" s="4"/>
      <c r="F3" s="4">
        <v>30</v>
      </c>
      <c r="G3" s="4">
        <v>0</v>
      </c>
      <c r="H3" s="4">
        <v>0</v>
      </c>
      <c r="I3" s="4">
        <f>SUM(F3:H3)*Capacity_8_hrs!$B$85</f>
        <v>4.5</v>
      </c>
      <c r="J3" s="4">
        <f t="shared" ref="J3" si="0">SUM(F3:I3)</f>
        <v>34.5</v>
      </c>
      <c r="K3" s="4">
        <v>8</v>
      </c>
      <c r="L3" s="4">
        <v>16</v>
      </c>
      <c r="M3" s="4">
        <f t="shared" ref="M3" si="1">SUM(J3:L3)</f>
        <v>58.5</v>
      </c>
      <c r="N3" s="36" t="s">
        <v>84</v>
      </c>
      <c r="O3" s="4"/>
      <c r="P3" s="6"/>
      <c r="Q3" s="36" t="s">
        <v>245</v>
      </c>
      <c r="R3" s="6"/>
      <c r="S3" s="6"/>
      <c r="T3" s="6"/>
      <c r="U3" s="6"/>
      <c r="V3" s="6"/>
      <c r="W3" s="4"/>
      <c r="X3" s="4"/>
    </row>
    <row r="4" spans="1:24" ht="42.65" customHeight="1" x14ac:dyDescent="0.35">
      <c r="A4" s="25">
        <v>1898950</v>
      </c>
      <c r="B4" s="4" t="s">
        <v>81</v>
      </c>
      <c r="C4" s="63" t="s">
        <v>93</v>
      </c>
      <c r="D4" s="4"/>
      <c r="E4" s="4"/>
      <c r="F4" s="4">
        <v>35</v>
      </c>
      <c r="G4" s="4">
        <v>0</v>
      </c>
      <c r="H4" s="4">
        <v>0</v>
      </c>
      <c r="I4" s="4">
        <f>SUM(F4:H4)*Capacity_8_hrs!$B$85</f>
        <v>5.25</v>
      </c>
      <c r="J4" s="4">
        <f t="shared" ref="J4" si="2">SUM(F4:I4)</f>
        <v>40.25</v>
      </c>
      <c r="K4" s="4">
        <v>8</v>
      </c>
      <c r="L4" s="4">
        <v>8</v>
      </c>
      <c r="M4" s="4">
        <f t="shared" ref="M4" si="3">SUM(J4:L4)</f>
        <v>56.25</v>
      </c>
      <c r="N4" s="2" t="s">
        <v>248</v>
      </c>
      <c r="O4" s="57"/>
      <c r="P4" s="59"/>
      <c r="Q4" s="58" t="s">
        <v>243</v>
      </c>
      <c r="R4" s="56"/>
      <c r="S4" s="56"/>
      <c r="T4" s="60"/>
      <c r="U4" s="60"/>
      <c r="V4" s="56"/>
      <c r="W4" s="56"/>
      <c r="X4" s="56"/>
    </row>
    <row r="5" spans="1:24" x14ac:dyDescent="0.35">
      <c r="A5" t="s">
        <v>87</v>
      </c>
      <c r="I5">
        <f>SUM(I2:I4)</f>
        <v>16.5</v>
      </c>
      <c r="J5">
        <f>SUM(J2:J4)</f>
        <v>126.5</v>
      </c>
      <c r="K5">
        <f>SUM(K2:K4)</f>
        <v>20</v>
      </c>
      <c r="L5">
        <f>SUM(L2:L4)</f>
        <v>30</v>
      </c>
      <c r="M5">
        <f>SUM(M2:M4)</f>
        <v>176.5</v>
      </c>
    </row>
  </sheetData>
  <hyperlinks>
    <hyperlink ref="A4" r:id="rId1" display="https://symphonyvsts.visualstudio.com/iConfirm/_workitems/edit/1898950" xr:uid="{3F87233F-60B6-42A9-B03E-9915524C0681}"/>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AE9B8-CF79-40ED-8504-3320EA584479}">
  <sheetPr>
    <tabColor theme="9" tint="-0.249977111117893"/>
  </sheetPr>
  <dimension ref="A1:X5"/>
  <sheetViews>
    <sheetView tabSelected="1" zoomScale="70" zoomScaleNormal="70" workbookViewId="0">
      <pane ySplit="1" topLeftCell="A2" activePane="bottomLeft" state="frozen"/>
      <selection pane="bottomLeft" activeCell="A3" sqref="A3"/>
    </sheetView>
  </sheetViews>
  <sheetFormatPr defaultRowHeight="14.5" x14ac:dyDescent="0.35"/>
  <cols>
    <col min="1" max="1" width="10.1796875" customWidth="1"/>
    <col min="2" max="2" width="14.453125" bestFit="1" customWidth="1"/>
    <col min="3" max="3" width="49.1796875" style="3" customWidth="1"/>
    <col min="4" max="4" width="13.26953125" customWidth="1"/>
    <col min="5" max="5" width="9.1796875" customWidth="1"/>
    <col min="9" max="10" width="10.54296875" customWidth="1"/>
    <col min="11" max="11" width="10" customWidth="1"/>
    <col min="12" max="12" width="9.81640625" customWidth="1"/>
    <col min="13" max="13" width="10.26953125" customWidth="1"/>
    <col min="14" max="14" width="22.1796875" style="3" customWidth="1"/>
    <col min="16" max="16" width="13.453125" customWidth="1"/>
    <col min="17" max="17" width="18.453125" bestFit="1" customWidth="1"/>
    <col min="19" max="19" width="19.26953125" customWidth="1"/>
  </cols>
  <sheetData>
    <row r="1" spans="1:24" s="3" customFormat="1" ht="53.25" customHeight="1" x14ac:dyDescent="0.35">
      <c r="A1" s="1" t="s">
        <v>57</v>
      </c>
      <c r="B1" s="1" t="s">
        <v>58</v>
      </c>
      <c r="C1" s="1" t="s">
        <v>59</v>
      </c>
      <c r="D1" s="1" t="s">
        <v>60</v>
      </c>
      <c r="E1" s="1" t="s">
        <v>61</v>
      </c>
      <c r="F1" s="1" t="s">
        <v>62</v>
      </c>
      <c r="G1" s="1" t="s">
        <v>63</v>
      </c>
      <c r="H1" s="1" t="s">
        <v>64</v>
      </c>
      <c r="I1" s="1" t="s">
        <v>65</v>
      </c>
      <c r="J1" s="1" t="s">
        <v>66</v>
      </c>
      <c r="K1" s="1" t="s">
        <v>67</v>
      </c>
      <c r="L1" s="1" t="s">
        <v>68</v>
      </c>
      <c r="M1" s="1" t="s">
        <v>69</v>
      </c>
      <c r="N1" s="1" t="s">
        <v>70</v>
      </c>
      <c r="O1" s="1" t="s">
        <v>71</v>
      </c>
      <c r="P1" s="1" t="s">
        <v>72</v>
      </c>
      <c r="Q1" s="1" t="s">
        <v>73</v>
      </c>
      <c r="R1" s="1" t="s">
        <v>74</v>
      </c>
      <c r="S1" s="1" t="s">
        <v>75</v>
      </c>
      <c r="T1" s="1" t="s">
        <v>76</v>
      </c>
      <c r="U1" s="1" t="s">
        <v>77</v>
      </c>
      <c r="V1" s="1" t="s">
        <v>78</v>
      </c>
      <c r="W1" s="1" t="s">
        <v>79</v>
      </c>
      <c r="X1" s="2" t="s">
        <v>80</v>
      </c>
    </row>
    <row r="2" spans="1:24" ht="44.5" customHeight="1" x14ac:dyDescent="0.35">
      <c r="A2" s="4">
        <v>1851132</v>
      </c>
      <c r="B2" s="4" t="s">
        <v>81</v>
      </c>
      <c r="C2" s="39" t="s">
        <v>88</v>
      </c>
      <c r="D2" s="36"/>
      <c r="E2" s="4"/>
      <c r="F2" s="4">
        <v>54</v>
      </c>
      <c r="G2" s="4">
        <v>0</v>
      </c>
      <c r="H2" s="4">
        <v>0</v>
      </c>
      <c r="I2" s="4">
        <f>SUM(F2:H2)*Capacity_8_hrs!$B$85</f>
        <v>8.1</v>
      </c>
      <c r="J2" s="4">
        <f t="shared" ref="J2:J3" si="0">SUM(F2:I2)</f>
        <v>62.1</v>
      </c>
      <c r="K2" s="4">
        <v>14</v>
      </c>
      <c r="L2" s="4">
        <v>30</v>
      </c>
      <c r="M2" s="4">
        <f t="shared" ref="M2:M3" si="1">SUM(J2:L2)</f>
        <v>106.1</v>
      </c>
      <c r="N2" s="36" t="s">
        <v>89</v>
      </c>
      <c r="O2" s="4"/>
      <c r="P2" s="6"/>
      <c r="Q2" s="36" t="s">
        <v>245</v>
      </c>
      <c r="R2" s="4"/>
      <c r="S2" s="4"/>
      <c r="T2" s="6"/>
      <c r="U2" s="6"/>
      <c r="V2" s="4"/>
      <c r="W2" s="4"/>
      <c r="X2" s="4"/>
    </row>
    <row r="3" spans="1:24" ht="35.5" customHeight="1" x14ac:dyDescent="0.35">
      <c r="A3" s="37">
        <v>1854595</v>
      </c>
      <c r="B3" s="37" t="s">
        <v>81</v>
      </c>
      <c r="C3" s="42" t="s">
        <v>90</v>
      </c>
      <c r="D3" s="38"/>
      <c r="E3" s="37"/>
      <c r="F3" s="37"/>
      <c r="G3" s="37"/>
      <c r="H3" s="37">
        <v>20</v>
      </c>
      <c r="I3" s="37">
        <f>SUM(F3:H3)*Capacity_8_hrs!$B$85</f>
        <v>3</v>
      </c>
      <c r="J3" s="37">
        <f t="shared" si="0"/>
        <v>23</v>
      </c>
      <c r="K3" s="37">
        <v>4</v>
      </c>
      <c r="L3" s="37">
        <v>8</v>
      </c>
      <c r="M3" s="37">
        <f t="shared" si="1"/>
        <v>35</v>
      </c>
      <c r="N3" s="43" t="s">
        <v>91</v>
      </c>
      <c r="O3" s="4"/>
      <c r="P3" s="6"/>
      <c r="Q3" s="36" t="s">
        <v>246</v>
      </c>
      <c r="R3" s="6"/>
      <c r="S3" s="6"/>
      <c r="T3" s="6"/>
      <c r="U3" s="6"/>
      <c r="V3" s="6"/>
      <c r="W3" s="6"/>
      <c r="X3" s="4" t="s">
        <v>92</v>
      </c>
    </row>
    <row r="4" spans="1:24" x14ac:dyDescent="0.35">
      <c r="A4" s="37">
        <v>1888098</v>
      </c>
      <c r="B4" s="37" t="s">
        <v>81</v>
      </c>
      <c r="C4" s="42" t="s">
        <v>85</v>
      </c>
      <c r="D4" s="38"/>
      <c r="E4" s="37"/>
      <c r="F4" s="37">
        <v>45</v>
      </c>
      <c r="G4" s="37">
        <v>0</v>
      </c>
      <c r="H4" s="37">
        <v>0</v>
      </c>
      <c r="I4" s="37">
        <f>SUM(F4:H4)*Capacity_8_hrs!$B$85</f>
        <v>6.75</v>
      </c>
      <c r="J4" s="37">
        <f>SUM(F4:I4)</f>
        <v>51.75</v>
      </c>
      <c r="K4" s="37">
        <v>4</v>
      </c>
      <c r="L4" s="37">
        <v>6</v>
      </c>
      <c r="M4" s="37">
        <f>SUM(J4:L4)</f>
        <v>61.75</v>
      </c>
      <c r="N4" s="38" t="s">
        <v>86</v>
      </c>
      <c r="O4" s="56"/>
      <c r="P4" s="56"/>
      <c r="Q4" s="56" t="s">
        <v>244</v>
      </c>
      <c r="R4" s="56"/>
      <c r="S4" s="56"/>
      <c r="T4" s="56"/>
      <c r="U4" s="56"/>
      <c r="V4" s="56"/>
      <c r="W4" s="56"/>
      <c r="X4" s="56"/>
    </row>
    <row r="5" spans="1:24" x14ac:dyDescent="0.35">
      <c r="A5" t="s">
        <v>87</v>
      </c>
      <c r="I5">
        <f>SUM(I2:I4)</f>
        <v>17.850000000000001</v>
      </c>
      <c r="J5">
        <f>SUM(J2:J4)</f>
        <v>136.85</v>
      </c>
      <c r="K5">
        <f>SUM(K2:K4)</f>
        <v>22</v>
      </c>
      <c r="L5">
        <f>SUM(L2:L4)</f>
        <v>44</v>
      </c>
      <c r="M5">
        <f>SUM(M2:M4)</f>
        <v>202.85</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2B49D-D1B7-4104-90BA-161B49D1269D}">
  <sheetPr>
    <tabColor theme="9" tint="-0.249977111117893"/>
  </sheetPr>
  <dimension ref="A1:X5"/>
  <sheetViews>
    <sheetView topLeftCell="C1" zoomScale="70" zoomScaleNormal="70" workbookViewId="0">
      <pane ySplit="1" topLeftCell="A2" activePane="bottomLeft" state="frozen"/>
      <selection pane="bottomLeft" activeCell="Q4" sqref="Q4"/>
    </sheetView>
  </sheetViews>
  <sheetFormatPr defaultRowHeight="14.5" x14ac:dyDescent="0.35"/>
  <cols>
    <col min="1" max="1" width="10.1796875" customWidth="1"/>
    <col min="2" max="2" width="14.453125" bestFit="1" customWidth="1"/>
    <col min="3" max="3" width="66.453125" style="3" bestFit="1" customWidth="1"/>
    <col min="4" max="4" width="13.26953125" customWidth="1"/>
    <col min="5" max="5" width="9.1796875" customWidth="1"/>
    <col min="9" max="10" width="10.54296875" customWidth="1"/>
    <col min="11" max="11" width="10" customWidth="1"/>
    <col min="12" max="12" width="9.81640625" customWidth="1"/>
    <col min="13" max="13" width="10.26953125" customWidth="1"/>
    <col min="14" max="14" width="22.1796875" style="3" customWidth="1"/>
    <col min="16" max="16" width="13.453125" customWidth="1"/>
    <col min="17" max="17" width="18.453125" bestFit="1" customWidth="1"/>
    <col min="19" max="19" width="19.26953125" customWidth="1"/>
  </cols>
  <sheetData>
    <row r="1" spans="1:24" s="3" customFormat="1" ht="53.25" customHeight="1" x14ac:dyDescent="0.35">
      <c r="A1" s="1" t="s">
        <v>57</v>
      </c>
      <c r="B1" s="1" t="s">
        <v>58</v>
      </c>
      <c r="C1" s="1" t="s">
        <v>59</v>
      </c>
      <c r="D1" s="1" t="s">
        <v>60</v>
      </c>
      <c r="E1" s="1" t="s">
        <v>61</v>
      </c>
      <c r="F1" s="1" t="s">
        <v>62</v>
      </c>
      <c r="G1" s="1" t="s">
        <v>63</v>
      </c>
      <c r="H1" s="1" t="s">
        <v>64</v>
      </c>
      <c r="I1" s="1" t="s">
        <v>65</v>
      </c>
      <c r="J1" s="1" t="s">
        <v>66</v>
      </c>
      <c r="K1" s="1" t="s">
        <v>67</v>
      </c>
      <c r="L1" s="1" t="s">
        <v>68</v>
      </c>
      <c r="M1" s="1" t="s">
        <v>69</v>
      </c>
      <c r="N1" s="1" t="s">
        <v>70</v>
      </c>
      <c r="O1" s="1" t="s">
        <v>71</v>
      </c>
      <c r="P1" s="1" t="s">
        <v>72</v>
      </c>
      <c r="Q1" s="1" t="s">
        <v>73</v>
      </c>
      <c r="R1" s="1" t="s">
        <v>74</v>
      </c>
      <c r="S1" s="1" t="s">
        <v>75</v>
      </c>
      <c r="T1" s="1" t="s">
        <v>76</v>
      </c>
      <c r="U1" s="1" t="s">
        <v>77</v>
      </c>
      <c r="V1" s="1" t="s">
        <v>78</v>
      </c>
      <c r="W1" s="1" t="s">
        <v>79</v>
      </c>
      <c r="X1" s="2" t="s">
        <v>80</v>
      </c>
    </row>
    <row r="2" spans="1:24" ht="35.5" customHeight="1" x14ac:dyDescent="0.35">
      <c r="A2" s="4">
        <v>1828981</v>
      </c>
      <c r="B2" s="4" t="s">
        <v>81</v>
      </c>
      <c r="C2" s="39" t="s">
        <v>94</v>
      </c>
      <c r="D2" s="36"/>
      <c r="E2" s="4"/>
      <c r="F2" s="41">
        <v>37</v>
      </c>
      <c r="G2" s="41">
        <v>0</v>
      </c>
      <c r="H2" s="41">
        <v>0</v>
      </c>
      <c r="I2" s="4">
        <f>SUM(F2:H2)*Capacity_8_hrs!$B$85</f>
        <v>5.55</v>
      </c>
      <c r="J2" s="4">
        <f t="shared" ref="J2:J4" si="0">SUM(F2:I2)</f>
        <v>42.55</v>
      </c>
      <c r="K2" s="41">
        <v>16</v>
      </c>
      <c r="L2" s="41">
        <v>16</v>
      </c>
      <c r="M2" s="4">
        <f t="shared" ref="M2:M4" si="1">SUM(J2:L2)</f>
        <v>74.55</v>
      </c>
      <c r="N2" s="36"/>
      <c r="O2" s="4"/>
      <c r="P2" s="6"/>
      <c r="Q2" s="36" t="s">
        <v>243</v>
      </c>
      <c r="R2" s="6"/>
      <c r="S2" s="6"/>
      <c r="T2" s="4"/>
      <c r="U2" s="4"/>
      <c r="V2" s="4"/>
      <c r="W2" s="4"/>
      <c r="X2" s="4"/>
    </row>
    <row r="3" spans="1:24" ht="35.5" customHeight="1" x14ac:dyDescent="0.35">
      <c r="A3" s="4">
        <v>1866451</v>
      </c>
      <c r="B3" s="4" t="s">
        <v>81</v>
      </c>
      <c r="C3" s="39" t="s">
        <v>95</v>
      </c>
      <c r="D3" s="36"/>
      <c r="E3" s="4"/>
      <c r="F3" s="41">
        <v>16</v>
      </c>
      <c r="G3" s="41">
        <v>0</v>
      </c>
      <c r="H3" s="41">
        <v>0</v>
      </c>
      <c r="I3" s="4">
        <f>SUM(F3:H3)*Capacity_8_hrs!$B$85</f>
        <v>2.4</v>
      </c>
      <c r="J3" s="4">
        <f t="shared" si="0"/>
        <v>18.399999999999999</v>
      </c>
      <c r="K3" s="41">
        <v>8</v>
      </c>
      <c r="L3" s="41">
        <v>8</v>
      </c>
      <c r="M3" s="4">
        <f t="shared" si="1"/>
        <v>34.4</v>
      </c>
      <c r="N3" s="5"/>
      <c r="O3" s="4"/>
      <c r="P3" s="6"/>
      <c r="Q3" s="36" t="s">
        <v>246</v>
      </c>
      <c r="R3" s="6"/>
      <c r="S3" s="6"/>
      <c r="T3" s="4"/>
      <c r="U3" s="4"/>
      <c r="V3" s="4"/>
      <c r="W3" s="4"/>
      <c r="X3" s="4"/>
    </row>
    <row r="4" spans="1:24" ht="35.5" customHeight="1" x14ac:dyDescent="0.35">
      <c r="A4" s="4">
        <v>1866461</v>
      </c>
      <c r="B4" s="4" t="s">
        <v>81</v>
      </c>
      <c r="C4" s="39" t="s">
        <v>96</v>
      </c>
      <c r="D4" s="36"/>
      <c r="E4" s="4"/>
      <c r="F4" s="41">
        <v>8</v>
      </c>
      <c r="G4" s="41">
        <v>0</v>
      </c>
      <c r="H4" s="41">
        <v>0</v>
      </c>
      <c r="I4" s="4">
        <f>SUM(F4:H4)*Capacity_8_hrs!$B$85</f>
        <v>1.2</v>
      </c>
      <c r="J4" s="4">
        <f t="shared" si="0"/>
        <v>9.1999999999999993</v>
      </c>
      <c r="K4" s="41">
        <v>8</v>
      </c>
      <c r="L4" s="41">
        <v>8</v>
      </c>
      <c r="M4" s="4">
        <f t="shared" si="1"/>
        <v>25.2</v>
      </c>
      <c r="N4" s="5"/>
      <c r="O4" s="4"/>
      <c r="P4" s="6"/>
      <c r="Q4" s="36" t="s">
        <v>245</v>
      </c>
      <c r="R4" s="6"/>
      <c r="S4" s="6"/>
      <c r="T4" s="6"/>
      <c r="U4" s="6"/>
      <c r="V4" s="6"/>
      <c r="W4" s="6"/>
      <c r="X4" s="4"/>
    </row>
    <row r="5" spans="1:24" x14ac:dyDescent="0.35">
      <c r="A5" t="s">
        <v>87</v>
      </c>
      <c r="I5">
        <f>SUM(I2:I4)</f>
        <v>9.1499999999999986</v>
      </c>
      <c r="J5">
        <f>SUM(J2:J4)</f>
        <v>70.149999999999991</v>
      </c>
      <c r="K5">
        <f>SUM(K2:K4)</f>
        <v>32</v>
      </c>
      <c r="L5">
        <f>SUM(L2:L4)</f>
        <v>32</v>
      </c>
      <c r="M5">
        <f>SUM(M2:M4)</f>
        <v>134.14999999999998</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765AE-7838-4171-AEEB-DD66A8ACE8AA}">
  <sheetPr>
    <tabColor theme="9" tint="-0.249977111117893"/>
  </sheetPr>
  <dimension ref="A1:X4"/>
  <sheetViews>
    <sheetView zoomScale="70" zoomScaleNormal="70" workbookViewId="0">
      <pane ySplit="1" topLeftCell="A2" activePane="bottomLeft" state="frozen"/>
      <selection pane="bottomLeft" activeCell="M4" sqref="M4"/>
    </sheetView>
  </sheetViews>
  <sheetFormatPr defaultRowHeight="14.5" x14ac:dyDescent="0.35"/>
  <cols>
    <col min="1" max="1" width="10.1796875" customWidth="1"/>
    <col min="2" max="2" width="14.453125" bestFit="1" customWidth="1"/>
    <col min="3" max="3" width="66.453125" style="3" bestFit="1" customWidth="1"/>
    <col min="4" max="4" width="13.26953125" customWidth="1"/>
    <col min="5" max="5" width="9.1796875" customWidth="1"/>
    <col min="9" max="10" width="10.54296875" customWidth="1"/>
    <col min="11" max="11" width="10" customWidth="1"/>
    <col min="12" max="12" width="9.81640625" customWidth="1"/>
    <col min="13" max="13" width="10.26953125" customWidth="1"/>
    <col min="14" max="14" width="22.1796875" style="3" customWidth="1"/>
    <col min="16" max="16" width="13.453125" customWidth="1"/>
    <col min="17" max="17" width="18.453125" bestFit="1" customWidth="1"/>
    <col min="19" max="19" width="19.26953125" customWidth="1"/>
  </cols>
  <sheetData>
    <row r="1" spans="1:24" s="3" customFormat="1" ht="53.25" customHeight="1" x14ac:dyDescent="0.35">
      <c r="A1" s="1" t="s">
        <v>57</v>
      </c>
      <c r="B1" s="1" t="s">
        <v>58</v>
      </c>
      <c r="C1" s="1" t="s">
        <v>59</v>
      </c>
      <c r="D1" s="1" t="s">
        <v>60</v>
      </c>
      <c r="E1" s="1" t="s">
        <v>61</v>
      </c>
      <c r="F1" s="1" t="s">
        <v>62</v>
      </c>
      <c r="G1" s="1" t="s">
        <v>63</v>
      </c>
      <c r="H1" s="1" t="s">
        <v>64</v>
      </c>
      <c r="I1" s="1" t="s">
        <v>65</v>
      </c>
      <c r="J1" s="1" t="s">
        <v>66</v>
      </c>
      <c r="K1" s="1" t="s">
        <v>67</v>
      </c>
      <c r="L1" s="1" t="s">
        <v>68</v>
      </c>
      <c r="M1" s="1" t="s">
        <v>69</v>
      </c>
      <c r="N1" s="1" t="s">
        <v>70</v>
      </c>
      <c r="O1" s="1" t="s">
        <v>71</v>
      </c>
      <c r="P1" s="1" t="s">
        <v>72</v>
      </c>
      <c r="Q1" s="1" t="s">
        <v>73</v>
      </c>
      <c r="R1" s="1" t="s">
        <v>74</v>
      </c>
      <c r="S1" s="1" t="s">
        <v>75</v>
      </c>
      <c r="T1" s="1" t="s">
        <v>76</v>
      </c>
      <c r="U1" s="1" t="s">
        <v>77</v>
      </c>
      <c r="V1" s="1" t="s">
        <v>78</v>
      </c>
      <c r="W1" s="1" t="s">
        <v>79</v>
      </c>
      <c r="X1" s="2" t="s">
        <v>80</v>
      </c>
    </row>
    <row r="2" spans="1:24" ht="29" x14ac:dyDescent="0.35">
      <c r="A2" s="4">
        <v>1885071</v>
      </c>
      <c r="B2" s="4" t="s">
        <v>81</v>
      </c>
      <c r="C2" s="39" t="s">
        <v>97</v>
      </c>
      <c r="D2" s="4"/>
      <c r="E2" s="4"/>
      <c r="F2" s="4">
        <v>0</v>
      </c>
      <c r="G2" s="4">
        <v>0</v>
      </c>
      <c r="H2" s="4">
        <v>40</v>
      </c>
      <c r="I2" s="4">
        <f>SUM(F2:H2)*Capacity_8_hrs!$B$85</f>
        <v>6</v>
      </c>
      <c r="J2" s="4">
        <f t="shared" ref="J2:J3" si="0">SUM(F2:I2)</f>
        <v>46</v>
      </c>
      <c r="K2" s="4">
        <v>6</v>
      </c>
      <c r="L2" s="4">
        <v>16</v>
      </c>
      <c r="M2" s="4">
        <f t="shared" ref="M2:M3" si="1">SUM(J2:L2)</f>
        <v>68</v>
      </c>
      <c r="N2" s="2" t="s">
        <v>98</v>
      </c>
      <c r="O2" s="4"/>
      <c r="P2" s="4"/>
      <c r="Q2" s="4" t="s">
        <v>246</v>
      </c>
      <c r="R2" s="4"/>
      <c r="S2" s="4"/>
      <c r="T2" s="4"/>
      <c r="U2" s="4"/>
      <c r="V2" s="4"/>
      <c r="W2" s="4"/>
      <c r="X2" s="4"/>
    </row>
    <row r="3" spans="1:24" ht="29" x14ac:dyDescent="0.35">
      <c r="A3" s="37">
        <v>1885803</v>
      </c>
      <c r="B3" s="37" t="s">
        <v>81</v>
      </c>
      <c r="C3" s="42" t="s">
        <v>99</v>
      </c>
      <c r="D3" s="37"/>
      <c r="E3" s="37"/>
      <c r="F3" s="37">
        <v>30</v>
      </c>
      <c r="G3" s="37">
        <v>0</v>
      </c>
      <c r="H3" s="37">
        <v>0</v>
      </c>
      <c r="I3" s="37">
        <f>SUM(F3:H3)*Capacity_8_hrs!$B$85</f>
        <v>4.5</v>
      </c>
      <c r="J3" s="37">
        <f t="shared" si="0"/>
        <v>34.5</v>
      </c>
      <c r="K3" s="37">
        <v>0</v>
      </c>
      <c r="L3" s="37">
        <v>0</v>
      </c>
      <c r="M3" s="37">
        <f t="shared" si="1"/>
        <v>34.5</v>
      </c>
      <c r="N3" s="44" t="s">
        <v>100</v>
      </c>
      <c r="O3" s="4"/>
      <c r="P3" s="4"/>
      <c r="Q3" s="4" t="s">
        <v>244</v>
      </c>
      <c r="R3" s="4"/>
      <c r="S3" s="4"/>
      <c r="T3" s="4"/>
      <c r="U3" s="4"/>
      <c r="V3" s="4"/>
      <c r="W3" s="4"/>
      <c r="X3" s="4"/>
    </row>
    <row r="4" spans="1:24" x14ac:dyDescent="0.35">
      <c r="A4" t="s">
        <v>87</v>
      </c>
      <c r="I4">
        <f>SUM(I2:I3)</f>
        <v>10.5</v>
      </c>
      <c r="J4">
        <f>SUM(J2:J3)</f>
        <v>80.5</v>
      </c>
      <c r="K4">
        <f>SUM(K2:K3)</f>
        <v>6</v>
      </c>
      <c r="L4">
        <f>SUM(L2:L3)</f>
        <v>16</v>
      </c>
      <c r="M4">
        <f>SUM(M2:M3)</f>
        <v>102.5</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BAE5A-1CE1-411C-9C41-8DF50FADD782}">
  <dimension ref="A1:E9"/>
  <sheetViews>
    <sheetView workbookViewId="0">
      <selection activeCell="A4" sqref="A4:C4"/>
    </sheetView>
  </sheetViews>
  <sheetFormatPr defaultRowHeight="14.5" x14ac:dyDescent="0.35"/>
  <cols>
    <col min="3" max="3" width="40.453125" customWidth="1"/>
    <col min="4" max="4" width="63.26953125" bestFit="1" customWidth="1"/>
  </cols>
  <sheetData>
    <row r="1" spans="1:5" x14ac:dyDescent="0.35">
      <c r="A1" s="4" t="s">
        <v>57</v>
      </c>
      <c r="B1" s="4" t="s">
        <v>101</v>
      </c>
      <c r="C1" s="4" t="s">
        <v>102</v>
      </c>
      <c r="D1" s="4" t="s">
        <v>103</v>
      </c>
      <c r="E1" s="52" t="s">
        <v>206</v>
      </c>
    </row>
    <row r="2" spans="1:5" x14ac:dyDescent="0.35">
      <c r="A2" s="4">
        <v>1888098</v>
      </c>
      <c r="B2" s="4" t="s">
        <v>81</v>
      </c>
      <c r="C2" s="4" t="s">
        <v>85</v>
      </c>
      <c r="D2" s="4" t="s">
        <v>104</v>
      </c>
      <c r="E2" s="52" t="s">
        <v>207</v>
      </c>
    </row>
    <row r="3" spans="1:5" ht="15.65" customHeight="1" x14ac:dyDescent="0.35">
      <c r="A3" s="4">
        <v>1854595</v>
      </c>
      <c r="B3" s="4" t="s">
        <v>81</v>
      </c>
      <c r="C3" s="4" t="s">
        <v>90</v>
      </c>
      <c r="D3" s="4" t="s">
        <v>91</v>
      </c>
      <c r="E3" s="52" t="s">
        <v>207</v>
      </c>
    </row>
    <row r="4" spans="1:5" x14ac:dyDescent="0.35">
      <c r="A4" s="4">
        <v>1885803</v>
      </c>
      <c r="B4" s="4" t="s">
        <v>81</v>
      </c>
      <c r="C4" s="4" t="s">
        <v>99</v>
      </c>
      <c r="D4" s="4" t="s">
        <v>205</v>
      </c>
      <c r="E4" s="52" t="s">
        <v>208</v>
      </c>
    </row>
    <row r="5" spans="1:5" x14ac:dyDescent="0.35">
      <c r="A5" s="4"/>
      <c r="B5" s="4" t="s">
        <v>81</v>
      </c>
      <c r="C5" s="4" t="s">
        <v>93</v>
      </c>
      <c r="D5" s="4"/>
    </row>
    <row r="8" spans="1:5" x14ac:dyDescent="0.35">
      <c r="A8" s="45" t="s">
        <v>105</v>
      </c>
    </row>
    <row r="9" spans="1:5" x14ac:dyDescent="0.35">
      <c r="A9" t="s">
        <v>106</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DF3F5-B31D-4ADB-A98B-118C00019F0A}">
  <sheetPr>
    <tabColor theme="9" tint="-0.249977111117893"/>
  </sheetPr>
  <dimension ref="A1:W11"/>
  <sheetViews>
    <sheetView topLeftCell="B1" zoomScale="80" zoomScaleNormal="80" workbookViewId="0">
      <pane ySplit="1" topLeftCell="A2" activePane="bottomLeft" state="frozen"/>
      <selection activeCell="D13" sqref="D13"/>
      <selection pane="bottomLeft" activeCell="D13" sqref="D13"/>
    </sheetView>
  </sheetViews>
  <sheetFormatPr defaultRowHeight="14.5" x14ac:dyDescent="0.35"/>
  <cols>
    <col min="1" max="1" width="10.1796875" bestFit="1" customWidth="1"/>
    <col min="2" max="2" width="10.81640625" customWidth="1"/>
    <col min="3" max="3" width="37.81640625" style="3" customWidth="1"/>
    <col min="4" max="4" width="31.81640625" bestFit="1" customWidth="1"/>
    <col min="5" max="5" width="9.1796875" customWidth="1"/>
    <col min="9" max="10" width="10.54296875" customWidth="1"/>
    <col min="11" max="11" width="10" customWidth="1"/>
    <col min="12" max="12" width="9.81640625" customWidth="1"/>
    <col min="13" max="13" width="10.26953125" customWidth="1"/>
    <col min="14" max="14" width="16" style="3" customWidth="1"/>
    <col min="16" max="16" width="13.453125" customWidth="1"/>
    <col min="17" max="17" width="18.453125" bestFit="1" customWidth="1"/>
    <col min="22" max="22" width="13.54296875" bestFit="1" customWidth="1"/>
  </cols>
  <sheetData>
    <row r="1" spans="1:23" s="3" customFormat="1" ht="53.25" customHeight="1" x14ac:dyDescent="0.35">
      <c r="A1" s="1" t="s">
        <v>57</v>
      </c>
      <c r="B1" s="1" t="s">
        <v>58</v>
      </c>
      <c r="C1" s="1" t="s">
        <v>59</v>
      </c>
      <c r="D1" s="1" t="s">
        <v>60</v>
      </c>
      <c r="E1" s="1" t="s">
        <v>61</v>
      </c>
      <c r="F1" s="1" t="s">
        <v>62</v>
      </c>
      <c r="G1" s="1" t="s">
        <v>63</v>
      </c>
      <c r="H1" s="1" t="s">
        <v>64</v>
      </c>
      <c r="I1" s="1" t="s">
        <v>65</v>
      </c>
      <c r="J1" s="1" t="s">
        <v>66</v>
      </c>
      <c r="K1" s="1" t="s">
        <v>67</v>
      </c>
      <c r="L1" s="1" t="s">
        <v>68</v>
      </c>
      <c r="M1" s="1" t="s">
        <v>69</v>
      </c>
      <c r="N1" s="1" t="s">
        <v>70</v>
      </c>
      <c r="O1" s="1" t="s">
        <v>71</v>
      </c>
      <c r="P1" s="1" t="s">
        <v>72</v>
      </c>
      <c r="Q1" s="1" t="s">
        <v>73</v>
      </c>
      <c r="R1" s="1" t="s">
        <v>74</v>
      </c>
      <c r="S1" s="1" t="s">
        <v>75</v>
      </c>
      <c r="T1" s="1" t="s">
        <v>107</v>
      </c>
      <c r="U1" s="1" t="s">
        <v>79</v>
      </c>
      <c r="V1" s="1" t="s">
        <v>80</v>
      </c>
    </row>
    <row r="2" spans="1:23" ht="37.5" customHeight="1" x14ac:dyDescent="0.35">
      <c r="A2" s="21"/>
      <c r="B2" s="4"/>
      <c r="C2" s="4" t="s">
        <v>108</v>
      </c>
      <c r="D2" s="4"/>
      <c r="E2" s="4"/>
      <c r="F2" s="4">
        <v>2</v>
      </c>
      <c r="G2" s="4"/>
      <c r="H2" s="4"/>
      <c r="I2" s="4"/>
      <c r="J2" s="4">
        <f>SUM(F2:I2)</f>
        <v>2</v>
      </c>
      <c r="K2" s="4">
        <v>4</v>
      </c>
      <c r="L2" s="4">
        <v>4</v>
      </c>
      <c r="M2" s="4">
        <f>SUM(J2:L2)</f>
        <v>10</v>
      </c>
      <c r="N2" s="5"/>
      <c r="O2" s="4" t="s">
        <v>109</v>
      </c>
      <c r="P2" s="6"/>
      <c r="Q2" s="4"/>
      <c r="R2" s="6"/>
      <c r="S2" s="6"/>
      <c r="T2" s="6"/>
      <c r="U2" s="6"/>
      <c r="V2" s="4"/>
    </row>
    <row r="3" spans="1:23" ht="35.5" customHeight="1" x14ac:dyDescent="0.35">
      <c r="A3" s="21"/>
      <c r="B3" s="4"/>
      <c r="C3" s="4" t="s">
        <v>110</v>
      </c>
      <c r="D3" s="4"/>
      <c r="E3" s="4"/>
      <c r="F3" s="4"/>
      <c r="G3" s="4"/>
      <c r="H3" s="4"/>
      <c r="I3" s="4"/>
      <c r="J3" s="4">
        <f t="shared" ref="J3:J6" si="0">SUM(F3:I3)</f>
        <v>0</v>
      </c>
      <c r="K3" s="4"/>
      <c r="L3" s="4"/>
      <c r="M3" s="4">
        <f t="shared" ref="M3:M6" si="1">SUM(J3:L3)</f>
        <v>0</v>
      </c>
      <c r="N3" s="5"/>
      <c r="O3" s="4" t="s">
        <v>109</v>
      </c>
      <c r="P3" s="6"/>
      <c r="Q3" s="4"/>
      <c r="R3" s="6"/>
      <c r="S3" s="6"/>
      <c r="T3" s="6"/>
      <c r="U3" s="6"/>
      <c r="V3" s="4"/>
    </row>
    <row r="4" spans="1:23" ht="44.5" customHeight="1" x14ac:dyDescent="0.35">
      <c r="A4" s="21"/>
      <c r="B4" s="4"/>
      <c r="C4" t="s">
        <v>111</v>
      </c>
      <c r="D4" s="4"/>
      <c r="E4" s="4"/>
      <c r="F4" s="4">
        <v>2</v>
      </c>
      <c r="G4" s="4"/>
      <c r="H4" s="4"/>
      <c r="I4" s="4"/>
      <c r="J4" s="4">
        <f t="shared" si="0"/>
        <v>2</v>
      </c>
      <c r="K4" s="4">
        <v>4</v>
      </c>
      <c r="L4" s="4">
        <v>4</v>
      </c>
      <c r="M4" s="4">
        <f t="shared" si="1"/>
        <v>10</v>
      </c>
      <c r="N4" s="5"/>
      <c r="O4" s="4" t="s">
        <v>109</v>
      </c>
      <c r="P4" s="6"/>
      <c r="Q4" s="4"/>
      <c r="R4" s="6"/>
      <c r="S4" s="6"/>
      <c r="T4" s="6"/>
      <c r="U4" s="6"/>
      <c r="V4" s="4"/>
    </row>
    <row r="5" spans="1:23" x14ac:dyDescent="0.35">
      <c r="A5" s="21"/>
      <c r="B5" s="4"/>
      <c r="C5" s="22" t="s">
        <v>112</v>
      </c>
      <c r="D5" s="4"/>
      <c r="E5" s="4"/>
      <c r="F5" s="4"/>
      <c r="G5" s="4"/>
      <c r="H5" s="4"/>
      <c r="I5" s="4"/>
      <c r="J5" s="4">
        <f t="shared" si="0"/>
        <v>0</v>
      </c>
      <c r="K5" s="4"/>
      <c r="L5" s="4"/>
      <c r="M5" s="4">
        <f t="shared" si="1"/>
        <v>0</v>
      </c>
      <c r="N5" s="5"/>
      <c r="O5" s="4" t="s">
        <v>109</v>
      </c>
      <c r="P5" s="6"/>
      <c r="Q5" s="4"/>
      <c r="R5" s="6"/>
      <c r="S5" s="6"/>
      <c r="T5" s="6"/>
      <c r="U5" s="6"/>
      <c r="V5" s="4"/>
    </row>
    <row r="6" spans="1:23" x14ac:dyDescent="0.35">
      <c r="A6" s="21"/>
      <c r="B6" s="4"/>
      <c r="C6" s="22" t="s">
        <v>113</v>
      </c>
      <c r="D6" s="4"/>
      <c r="E6" s="4"/>
      <c r="F6" s="4"/>
      <c r="G6" s="4"/>
      <c r="H6" s="4"/>
      <c r="I6" s="4"/>
      <c r="J6" s="4">
        <f t="shared" si="0"/>
        <v>0</v>
      </c>
      <c r="K6" s="4"/>
      <c r="L6" s="4"/>
      <c r="M6" s="4">
        <f t="shared" si="1"/>
        <v>0</v>
      </c>
      <c r="N6" s="5"/>
      <c r="O6" s="4" t="s">
        <v>109</v>
      </c>
      <c r="P6" s="6"/>
      <c r="Q6" s="4"/>
      <c r="R6" s="4"/>
      <c r="S6" s="4"/>
      <c r="T6" s="4"/>
      <c r="U6" s="4"/>
      <c r="V6" s="4"/>
      <c r="W6" s="24"/>
    </row>
    <row r="9" spans="1:23" x14ac:dyDescent="0.35">
      <c r="E9">
        <f t="shared" ref="E9:M9" si="2">SUM(E2:E6)</f>
        <v>0</v>
      </c>
      <c r="F9">
        <f t="shared" si="2"/>
        <v>4</v>
      </c>
      <c r="G9">
        <f t="shared" si="2"/>
        <v>0</v>
      </c>
      <c r="H9">
        <f t="shared" si="2"/>
        <v>0</v>
      </c>
      <c r="I9">
        <f t="shared" si="2"/>
        <v>0</v>
      </c>
      <c r="J9">
        <f t="shared" si="2"/>
        <v>4</v>
      </c>
      <c r="K9">
        <f t="shared" si="2"/>
        <v>8</v>
      </c>
      <c r="L9">
        <f t="shared" si="2"/>
        <v>8</v>
      </c>
      <c r="M9">
        <f t="shared" si="2"/>
        <v>20</v>
      </c>
    </row>
    <row r="11" spans="1:23" x14ac:dyDescent="0.35">
      <c r="A11" t="s">
        <v>48</v>
      </c>
      <c r="C11">
        <v>0.15</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FAC78-9E0A-4B3A-B92F-6FEB2365D820}">
  <sheetPr>
    <tabColor theme="9" tint="-0.249977111117893"/>
  </sheetPr>
  <dimension ref="A1:W12"/>
  <sheetViews>
    <sheetView zoomScale="80" zoomScaleNormal="80" workbookViewId="0">
      <pane ySplit="1" topLeftCell="A2" activePane="bottomLeft" state="frozen"/>
      <selection activeCell="D13" sqref="D13"/>
      <selection pane="bottomLeft" activeCell="D13" sqref="D13"/>
    </sheetView>
  </sheetViews>
  <sheetFormatPr defaultRowHeight="14.5" x14ac:dyDescent="0.35"/>
  <cols>
    <col min="1" max="1" width="10.1796875" bestFit="1" customWidth="1"/>
    <col min="2" max="2" width="10.81640625" customWidth="1"/>
    <col min="3" max="3" width="32.81640625" style="3" customWidth="1"/>
    <col min="4" max="4" width="13.26953125" customWidth="1"/>
    <col min="5" max="5" width="9.1796875" customWidth="1"/>
    <col min="9" max="10" width="10.54296875" customWidth="1"/>
    <col min="11" max="11" width="10" customWidth="1"/>
    <col min="12" max="12" width="9.81640625" customWidth="1"/>
    <col min="13" max="13" width="10.26953125" customWidth="1"/>
    <col min="14" max="14" width="16" style="3" customWidth="1"/>
    <col min="16" max="16" width="13.453125" customWidth="1"/>
    <col min="17" max="17" width="18.453125" bestFit="1" customWidth="1"/>
    <col min="22" max="22" width="13.54296875" bestFit="1" customWidth="1"/>
  </cols>
  <sheetData>
    <row r="1" spans="1:23" s="3" customFormat="1" ht="53.25" customHeight="1" x14ac:dyDescent="0.35">
      <c r="A1" s="1" t="s">
        <v>57</v>
      </c>
      <c r="B1" s="1" t="s">
        <v>58</v>
      </c>
      <c r="C1" s="1" t="s">
        <v>59</v>
      </c>
      <c r="D1" s="1" t="s">
        <v>60</v>
      </c>
      <c r="E1" s="1" t="s">
        <v>61</v>
      </c>
      <c r="F1" s="1" t="s">
        <v>62</v>
      </c>
      <c r="G1" s="1" t="s">
        <v>63</v>
      </c>
      <c r="H1" s="1" t="s">
        <v>64</v>
      </c>
      <c r="I1" s="1" t="s">
        <v>65</v>
      </c>
      <c r="J1" s="1" t="s">
        <v>66</v>
      </c>
      <c r="K1" s="1" t="s">
        <v>67</v>
      </c>
      <c r="L1" s="1" t="s">
        <v>68</v>
      </c>
      <c r="M1" s="1" t="s">
        <v>69</v>
      </c>
      <c r="N1" s="1" t="s">
        <v>70</v>
      </c>
      <c r="O1" s="1" t="s">
        <v>71</v>
      </c>
      <c r="P1" s="1" t="s">
        <v>72</v>
      </c>
      <c r="Q1" s="1" t="s">
        <v>73</v>
      </c>
      <c r="R1" s="1" t="s">
        <v>74</v>
      </c>
      <c r="S1" s="1" t="s">
        <v>75</v>
      </c>
      <c r="T1" s="1" t="s">
        <v>107</v>
      </c>
      <c r="U1" s="1" t="s">
        <v>79</v>
      </c>
      <c r="V1" s="1" t="s">
        <v>80</v>
      </c>
    </row>
    <row r="2" spans="1:23" ht="37.5" customHeight="1" x14ac:dyDescent="0.35">
      <c r="A2" s="21"/>
      <c r="B2" s="4"/>
      <c r="C2" s="4" t="s">
        <v>114</v>
      </c>
      <c r="D2" s="4"/>
      <c r="E2" s="4"/>
      <c r="F2" s="4">
        <v>24</v>
      </c>
      <c r="G2" s="4">
        <v>0</v>
      </c>
      <c r="H2" s="4">
        <v>0</v>
      </c>
      <c r="I2" s="4">
        <f>SUM(F2:H2)*$C$12</f>
        <v>3.5999999999999996</v>
      </c>
      <c r="J2" s="4">
        <f>SUM(F2:I2)</f>
        <v>27.6</v>
      </c>
      <c r="K2" s="4">
        <v>0</v>
      </c>
      <c r="L2" s="4">
        <v>36</v>
      </c>
      <c r="M2" s="4">
        <f>SUM(J2:L2)</f>
        <v>63.6</v>
      </c>
      <c r="N2" s="5"/>
      <c r="O2" s="4" t="s">
        <v>54</v>
      </c>
      <c r="P2" s="6">
        <v>44594</v>
      </c>
      <c r="Q2" s="4" t="s">
        <v>115</v>
      </c>
      <c r="R2" s="6">
        <v>44592</v>
      </c>
      <c r="S2" s="6">
        <v>44594</v>
      </c>
      <c r="T2" s="6">
        <v>44595</v>
      </c>
      <c r="U2" s="6">
        <v>44600</v>
      </c>
      <c r="V2" s="4" t="s">
        <v>116</v>
      </c>
    </row>
    <row r="3" spans="1:23" ht="35.5" customHeight="1" x14ac:dyDescent="0.35">
      <c r="A3" s="21"/>
      <c r="B3" s="4" t="s">
        <v>117</v>
      </c>
      <c r="C3" s="4" t="s">
        <v>118</v>
      </c>
      <c r="D3" s="4"/>
      <c r="E3" s="4"/>
      <c r="F3" s="4">
        <v>18</v>
      </c>
      <c r="G3" s="4">
        <v>9</v>
      </c>
      <c r="H3" s="4">
        <v>9</v>
      </c>
      <c r="I3" s="4">
        <f>SUM(F3:H3)*$C$12</f>
        <v>5.3999999999999995</v>
      </c>
      <c r="J3" s="4">
        <f t="shared" ref="J3:J7" si="0">SUM(F3:I3)</f>
        <v>41.4</v>
      </c>
      <c r="K3" s="4">
        <v>0</v>
      </c>
      <c r="L3" s="4">
        <v>0</v>
      </c>
      <c r="M3" s="4">
        <f t="shared" ref="M3:M7" si="1">SUM(J3:L3)</f>
        <v>41.4</v>
      </c>
      <c r="N3" s="5"/>
      <c r="O3" s="4" t="s">
        <v>54</v>
      </c>
      <c r="P3" s="6">
        <v>44596</v>
      </c>
      <c r="Q3" s="4" t="s">
        <v>119</v>
      </c>
      <c r="R3" s="6">
        <v>44592</v>
      </c>
      <c r="S3" s="6">
        <v>44596</v>
      </c>
      <c r="T3" s="6">
        <v>44595</v>
      </c>
      <c r="U3" s="6">
        <v>44600</v>
      </c>
      <c r="V3" s="4" t="s">
        <v>116</v>
      </c>
    </row>
    <row r="4" spans="1:23" ht="37.5" customHeight="1" x14ac:dyDescent="0.35">
      <c r="A4" s="25"/>
      <c r="B4" s="23"/>
      <c r="C4" s="23" t="s">
        <v>120</v>
      </c>
      <c r="D4" s="23"/>
      <c r="E4" s="23"/>
      <c r="F4" s="23"/>
      <c r="G4" s="23"/>
      <c r="H4" s="23"/>
      <c r="I4" s="23"/>
      <c r="J4" s="23"/>
      <c r="K4" s="23"/>
      <c r="L4" s="23"/>
      <c r="M4" s="23">
        <f t="shared" si="1"/>
        <v>0</v>
      </c>
      <c r="N4" s="26" t="s">
        <v>121</v>
      </c>
      <c r="O4" s="23" t="s">
        <v>54</v>
      </c>
      <c r="P4" s="23"/>
      <c r="Q4" s="23"/>
      <c r="R4" s="23"/>
      <c r="S4" s="23"/>
      <c r="T4" s="23"/>
      <c r="U4" s="23"/>
      <c r="V4" s="23"/>
    </row>
    <row r="5" spans="1:23" ht="44.5" customHeight="1" x14ac:dyDescent="0.35">
      <c r="A5" s="21"/>
      <c r="B5" s="4" t="s">
        <v>117</v>
      </c>
      <c r="C5" s="4" t="s">
        <v>122</v>
      </c>
      <c r="D5" s="4"/>
      <c r="E5" s="4"/>
      <c r="F5" s="4">
        <v>24</v>
      </c>
      <c r="G5" s="4"/>
      <c r="H5" s="4"/>
      <c r="I5" s="4">
        <f>SUM(F5:H5)*$C$12</f>
        <v>3.5999999999999996</v>
      </c>
      <c r="J5" s="4">
        <f t="shared" ref="J5" si="2">SUM(F5:I5)</f>
        <v>27.6</v>
      </c>
      <c r="K5" s="4">
        <v>0</v>
      </c>
      <c r="L5" s="4">
        <v>0</v>
      </c>
      <c r="M5" s="4">
        <f t="shared" ref="M5" si="3">SUM(J5:L5)</f>
        <v>27.6</v>
      </c>
      <c r="N5" s="5"/>
      <c r="O5" s="4" t="s">
        <v>54</v>
      </c>
      <c r="P5" s="6">
        <v>44595</v>
      </c>
      <c r="Q5" s="4" t="s">
        <v>123</v>
      </c>
      <c r="R5" s="6">
        <v>44592</v>
      </c>
      <c r="S5" s="6">
        <v>44595</v>
      </c>
      <c r="T5" s="6">
        <v>44595</v>
      </c>
      <c r="U5" s="6">
        <v>44600</v>
      </c>
      <c r="V5" s="4" t="s">
        <v>116</v>
      </c>
    </row>
    <row r="6" spans="1:23" ht="26.5" customHeight="1" x14ac:dyDescent="0.35">
      <c r="A6" s="25"/>
      <c r="B6" s="23" t="s">
        <v>117</v>
      </c>
      <c r="C6" s="23" t="s">
        <v>124</v>
      </c>
      <c r="D6" s="23"/>
      <c r="E6" s="23"/>
      <c r="F6" s="23"/>
      <c r="G6" s="23"/>
      <c r="H6" s="23"/>
      <c r="I6" s="23">
        <f>SUM(F6:H6)*$C$12</f>
        <v>0</v>
      </c>
      <c r="J6" s="23">
        <f t="shared" si="0"/>
        <v>0</v>
      </c>
      <c r="K6" s="23"/>
      <c r="L6" s="23"/>
      <c r="M6" s="23">
        <f t="shared" si="1"/>
        <v>0</v>
      </c>
      <c r="N6" s="26" t="s">
        <v>125</v>
      </c>
      <c r="O6" s="23" t="s">
        <v>54</v>
      </c>
      <c r="P6" s="27"/>
      <c r="Q6" s="23"/>
      <c r="R6" s="23"/>
      <c r="S6" s="23"/>
      <c r="T6" s="23"/>
      <c r="U6" s="23"/>
      <c r="V6" s="23"/>
    </row>
    <row r="7" spans="1:23" x14ac:dyDescent="0.35">
      <c r="A7" s="21">
        <v>1857138</v>
      </c>
      <c r="B7" s="4" t="s">
        <v>126</v>
      </c>
      <c r="C7" s="22" t="s">
        <v>127</v>
      </c>
      <c r="D7" s="4" t="s">
        <v>128</v>
      </c>
      <c r="E7" s="4"/>
      <c r="F7" s="4">
        <v>8</v>
      </c>
      <c r="G7" s="4">
        <v>0</v>
      </c>
      <c r="H7" s="4">
        <v>0</v>
      </c>
      <c r="I7" s="4">
        <f>SUM(F7:H7)*$C$18</f>
        <v>0</v>
      </c>
      <c r="J7" s="4">
        <f t="shared" si="0"/>
        <v>8</v>
      </c>
      <c r="K7" s="4">
        <v>4</v>
      </c>
      <c r="L7" s="4">
        <v>16</v>
      </c>
      <c r="M7" s="4">
        <f t="shared" si="1"/>
        <v>28</v>
      </c>
      <c r="N7" s="5" t="s">
        <v>129</v>
      </c>
      <c r="O7" s="4" t="s">
        <v>54</v>
      </c>
      <c r="P7" s="6">
        <v>44592</v>
      </c>
      <c r="Q7" s="4" t="s">
        <v>123</v>
      </c>
      <c r="R7" s="6">
        <v>44580</v>
      </c>
      <c r="S7" s="6">
        <v>44580</v>
      </c>
      <c r="T7" s="6">
        <v>44592</v>
      </c>
      <c r="U7" s="6">
        <v>44594</v>
      </c>
      <c r="V7" s="4" t="s">
        <v>130</v>
      </c>
    </row>
    <row r="8" spans="1:23" ht="43.5" x14ac:dyDescent="0.35">
      <c r="A8" s="21">
        <v>1854752</v>
      </c>
      <c r="B8" s="4" t="s">
        <v>126</v>
      </c>
      <c r="C8" s="22" t="s">
        <v>131</v>
      </c>
      <c r="D8" s="4" t="s">
        <v>132</v>
      </c>
      <c r="E8" s="4"/>
      <c r="F8" s="4"/>
      <c r="G8" s="4"/>
      <c r="H8" s="4"/>
      <c r="I8" s="4"/>
      <c r="J8" s="4"/>
      <c r="K8" s="4"/>
      <c r="L8" s="4"/>
      <c r="M8" s="4"/>
      <c r="N8" s="5" t="s">
        <v>133</v>
      </c>
      <c r="O8" s="4" t="s">
        <v>54</v>
      </c>
      <c r="P8" s="6"/>
      <c r="Q8" s="4" t="s">
        <v>134</v>
      </c>
      <c r="R8" s="4"/>
      <c r="S8" s="4"/>
      <c r="T8" s="4"/>
      <c r="U8" s="4"/>
      <c r="V8" s="4" t="s">
        <v>130</v>
      </c>
      <c r="W8" s="24"/>
    </row>
    <row r="10" spans="1:23" x14ac:dyDescent="0.35">
      <c r="E10">
        <f t="shared" ref="E10:M10" si="4">SUM(E2:E8)</f>
        <v>0</v>
      </c>
      <c r="F10">
        <f t="shared" si="4"/>
        <v>74</v>
      </c>
      <c r="G10">
        <f t="shared" si="4"/>
        <v>9</v>
      </c>
      <c r="H10">
        <f t="shared" si="4"/>
        <v>9</v>
      </c>
      <c r="I10">
        <f t="shared" si="4"/>
        <v>12.6</v>
      </c>
      <c r="J10">
        <f t="shared" si="4"/>
        <v>104.6</v>
      </c>
      <c r="K10">
        <f t="shared" si="4"/>
        <v>4</v>
      </c>
      <c r="L10">
        <f t="shared" si="4"/>
        <v>52</v>
      </c>
      <c r="M10">
        <f t="shared" si="4"/>
        <v>160.6</v>
      </c>
    </row>
    <row r="12" spans="1:23" x14ac:dyDescent="0.35">
      <c r="A12" t="s">
        <v>48</v>
      </c>
      <c r="C12">
        <v>0.15</v>
      </c>
    </row>
  </sheetData>
  <hyperlinks>
    <hyperlink ref="A7" r:id="rId1" display="https://symphonyvsts.visualstudio.com/Scribe/_workitems/edit/1857138" xr:uid="{84294DB3-7374-4D80-91F0-C4E6649F037D}"/>
    <hyperlink ref="A8" r:id="rId2" display="https://symphonyvsts.visualstudio.com/Scribe/_workitems/edit/1854752" xr:uid="{8DBFB0AB-0270-460E-93CF-F9E0C6047462}"/>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C0E21-2C6A-478E-904C-FA3C07BD2C6E}">
  <sheetPr>
    <tabColor theme="9" tint="-0.249977111117893"/>
  </sheetPr>
  <dimension ref="A1:A3"/>
  <sheetViews>
    <sheetView workbookViewId="0">
      <selection activeCell="D13" sqref="D13"/>
    </sheetView>
  </sheetViews>
  <sheetFormatPr defaultRowHeight="14.5" x14ac:dyDescent="0.35"/>
  <cols>
    <col min="1" max="1" width="25.453125" bestFit="1" customWidth="1"/>
  </cols>
  <sheetData>
    <row r="1" spans="1:1" x14ac:dyDescent="0.35">
      <c r="A1" t="s">
        <v>135</v>
      </c>
    </row>
    <row r="2" spans="1:1" x14ac:dyDescent="0.35">
      <c r="A2" t="s">
        <v>136</v>
      </c>
    </row>
    <row r="3" spans="1:1" x14ac:dyDescent="0.35">
      <c r="A3" t="s">
        <v>137</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2CD3C-78CB-4AEE-A8DF-71550E0026C2}">
  <dimension ref="A1:N18"/>
  <sheetViews>
    <sheetView topLeftCell="A4" zoomScale="60" zoomScaleNormal="60" workbookViewId="0">
      <selection activeCell="D23" sqref="D23"/>
    </sheetView>
  </sheetViews>
  <sheetFormatPr defaultRowHeight="14.5" x14ac:dyDescent="0.35"/>
  <cols>
    <col min="1" max="1" width="46.1796875" customWidth="1"/>
    <col min="4" max="4" width="16.54296875" bestFit="1" customWidth="1"/>
    <col min="6" max="6" width="11.1796875" bestFit="1" customWidth="1"/>
    <col min="8" max="8" width="19.81640625" customWidth="1"/>
    <col min="9" max="9" width="18" customWidth="1"/>
    <col min="10" max="10" width="51" customWidth="1"/>
    <col min="12" max="12" width="12.1796875" customWidth="1"/>
    <col min="14" max="14" width="17.1796875" customWidth="1"/>
  </cols>
  <sheetData>
    <row r="1" spans="1:14" ht="48" x14ac:dyDescent="0.35">
      <c r="A1" s="7" t="s">
        <v>138</v>
      </c>
    </row>
    <row r="2" spans="1:14" x14ac:dyDescent="0.35">
      <c r="A2" s="8"/>
    </row>
    <row r="3" spans="1:14" x14ac:dyDescent="0.35">
      <c r="A3" s="7" t="s">
        <v>139</v>
      </c>
    </row>
    <row r="4" spans="1:14" x14ac:dyDescent="0.35">
      <c r="A4" s="7" t="s">
        <v>140</v>
      </c>
    </row>
    <row r="5" spans="1:14" x14ac:dyDescent="0.35">
      <c r="A5" s="7" t="s">
        <v>141</v>
      </c>
    </row>
    <row r="6" spans="1:14" ht="24" x14ac:dyDescent="0.35">
      <c r="A6" s="7" t="s">
        <v>142</v>
      </c>
    </row>
    <row r="7" spans="1:14" x14ac:dyDescent="0.35">
      <c r="A7" s="8"/>
    </row>
    <row r="8" spans="1:14" x14ac:dyDescent="0.35">
      <c r="A8" s="7" t="s">
        <v>143</v>
      </c>
    </row>
    <row r="9" spans="1:14" ht="15" thickBot="1" x14ac:dyDescent="0.4"/>
    <row r="10" spans="1:14" x14ac:dyDescent="0.35">
      <c r="A10" s="9" t="s">
        <v>144</v>
      </c>
      <c r="B10" s="4" t="s">
        <v>145</v>
      </c>
      <c r="D10" s="4" t="s">
        <v>146</v>
      </c>
      <c r="E10" s="4" t="s">
        <v>145</v>
      </c>
      <c r="F10" s="4" t="s">
        <v>147</v>
      </c>
      <c r="H10" s="10" t="s">
        <v>148</v>
      </c>
      <c r="I10" s="11" t="s">
        <v>149</v>
      </c>
      <c r="J10" s="11" t="s">
        <v>150</v>
      </c>
      <c r="K10" s="12" t="s">
        <v>151</v>
      </c>
      <c r="L10" s="12" t="s">
        <v>152</v>
      </c>
      <c r="M10" s="12" t="s">
        <v>151</v>
      </c>
      <c r="N10" s="12" t="s">
        <v>152</v>
      </c>
    </row>
    <row r="11" spans="1:14" ht="27.65" customHeight="1" x14ac:dyDescent="0.35">
      <c r="A11" s="9" t="s">
        <v>153</v>
      </c>
      <c r="B11" s="4">
        <v>1</v>
      </c>
      <c r="D11" s="4" t="s">
        <v>154</v>
      </c>
      <c r="E11" s="4">
        <v>1</v>
      </c>
      <c r="F11" s="4" t="s">
        <v>155</v>
      </c>
      <c r="H11" s="13">
        <v>1</v>
      </c>
      <c r="I11" s="14" t="s">
        <v>156</v>
      </c>
      <c r="J11" s="15" t="s">
        <v>157</v>
      </c>
      <c r="K11" s="16">
        <v>4</v>
      </c>
      <c r="L11" s="4" t="s">
        <v>158</v>
      </c>
      <c r="M11" s="16">
        <v>4</v>
      </c>
      <c r="N11" s="4" t="s">
        <v>159</v>
      </c>
    </row>
    <row r="12" spans="1:14" ht="28" customHeight="1" x14ac:dyDescent="0.35">
      <c r="A12" s="9" t="s">
        <v>160</v>
      </c>
      <c r="B12" s="4">
        <v>2</v>
      </c>
      <c r="D12" s="4" t="s">
        <v>161</v>
      </c>
      <c r="E12" s="4">
        <v>2</v>
      </c>
      <c r="F12" s="4" t="s">
        <v>162</v>
      </c>
      <c r="H12" s="17" t="s">
        <v>163</v>
      </c>
      <c r="I12" s="14" t="s">
        <v>164</v>
      </c>
      <c r="J12" s="14" t="s">
        <v>165</v>
      </c>
      <c r="K12" s="18" t="s">
        <v>166</v>
      </c>
      <c r="L12" s="4" t="s">
        <v>158</v>
      </c>
      <c r="M12" s="18" t="s">
        <v>167</v>
      </c>
      <c r="N12" s="4" t="s">
        <v>159</v>
      </c>
    </row>
    <row r="13" spans="1:14" ht="28.5" customHeight="1" x14ac:dyDescent="0.35">
      <c r="A13" s="9" t="s">
        <v>168</v>
      </c>
      <c r="B13" s="4">
        <v>3</v>
      </c>
      <c r="D13" s="4" t="s">
        <v>169</v>
      </c>
      <c r="E13" s="4">
        <v>3</v>
      </c>
      <c r="F13" s="4" t="s">
        <v>170</v>
      </c>
      <c r="H13" s="17" t="s">
        <v>171</v>
      </c>
      <c r="I13" s="14" t="s">
        <v>172</v>
      </c>
      <c r="J13" s="14" t="s">
        <v>173</v>
      </c>
      <c r="K13" s="16">
        <v>24</v>
      </c>
      <c r="L13" s="4" t="s">
        <v>158</v>
      </c>
      <c r="M13" s="16">
        <v>28</v>
      </c>
      <c r="N13" s="4" t="s">
        <v>159</v>
      </c>
    </row>
    <row r="14" spans="1:14" ht="33.65" customHeight="1" x14ac:dyDescent="0.35">
      <c r="A14" s="9" t="s">
        <v>174</v>
      </c>
      <c r="B14" s="4">
        <v>5</v>
      </c>
      <c r="D14" s="4" t="s">
        <v>175</v>
      </c>
      <c r="E14" s="4">
        <v>5</v>
      </c>
      <c r="F14" s="4" t="s">
        <v>176</v>
      </c>
      <c r="H14" s="17" t="s">
        <v>177</v>
      </c>
      <c r="I14" s="15" t="s">
        <v>178</v>
      </c>
      <c r="J14" s="14" t="s">
        <v>179</v>
      </c>
      <c r="K14" s="16" t="s">
        <v>180</v>
      </c>
      <c r="L14" s="4" t="s">
        <v>158</v>
      </c>
      <c r="M14" s="16" t="s">
        <v>181</v>
      </c>
      <c r="N14" s="4" t="s">
        <v>159</v>
      </c>
    </row>
    <row r="15" spans="1:14" ht="30" customHeight="1" x14ac:dyDescent="0.35">
      <c r="A15" s="9" t="s">
        <v>182</v>
      </c>
      <c r="B15" s="4">
        <v>8</v>
      </c>
      <c r="D15" s="4" t="s">
        <v>183</v>
      </c>
      <c r="E15" s="4">
        <v>8</v>
      </c>
      <c r="F15" s="4" t="s">
        <v>184</v>
      </c>
      <c r="H15" s="17" t="s">
        <v>185</v>
      </c>
      <c r="I15" s="14" t="s">
        <v>186</v>
      </c>
      <c r="J15" s="15" t="s">
        <v>187</v>
      </c>
      <c r="K15" s="16" t="s">
        <v>188</v>
      </c>
      <c r="L15" s="4" t="s">
        <v>158</v>
      </c>
      <c r="M15" s="16" t="s">
        <v>188</v>
      </c>
      <c r="N15" s="4" t="s">
        <v>159</v>
      </c>
    </row>
    <row r="16" spans="1:14" ht="25" customHeight="1" x14ac:dyDescent="0.35">
      <c r="A16" s="9" t="s">
        <v>189</v>
      </c>
      <c r="B16" s="4">
        <v>13</v>
      </c>
      <c r="D16" s="4" t="s">
        <v>190</v>
      </c>
      <c r="E16" s="4">
        <v>13</v>
      </c>
      <c r="F16" s="4" t="s">
        <v>191</v>
      </c>
      <c r="H16" s="17" t="s">
        <v>192</v>
      </c>
      <c r="I16" s="14" t="s">
        <v>193</v>
      </c>
      <c r="J16" s="19" t="s">
        <v>194</v>
      </c>
      <c r="K16" s="16"/>
      <c r="L16" s="4"/>
      <c r="M16" s="16"/>
      <c r="N16" s="4"/>
    </row>
    <row r="17" spans="8:14" ht="23.5" customHeight="1" x14ac:dyDescent="0.35">
      <c r="H17" s="17" t="s">
        <v>195</v>
      </c>
      <c r="I17" s="15" t="s">
        <v>196</v>
      </c>
      <c r="J17" s="20" t="s">
        <v>197</v>
      </c>
      <c r="K17" s="16"/>
      <c r="L17" s="4"/>
      <c r="M17" s="16"/>
      <c r="N17" s="4"/>
    </row>
    <row r="18" spans="8:14" ht="24" customHeight="1" x14ac:dyDescent="0.35">
      <c r="H18" s="17" t="s">
        <v>198</v>
      </c>
      <c r="I18" s="15" t="s">
        <v>199</v>
      </c>
      <c r="J18" s="20" t="s">
        <v>200</v>
      </c>
      <c r="K18" s="16"/>
      <c r="L18" s="4"/>
      <c r="M18" s="16"/>
      <c r="N18" s="4"/>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FE4174DB7680C4DB88A51B0D4614172" ma:contentTypeVersion="12" ma:contentTypeDescription="Create a new document." ma:contentTypeScope="" ma:versionID="6f673bebeba1259ed8455746356f276e">
  <xsd:schema xmlns:xsd="http://www.w3.org/2001/XMLSchema" xmlns:xs="http://www.w3.org/2001/XMLSchema" xmlns:p="http://schemas.microsoft.com/office/2006/metadata/properties" xmlns:ns2="c5ca30e9-1eeb-40d3-9261-998391ffbde0" xmlns:ns3="3c376949-ac9d-47eb-9dbd-9ddcd9bcd520" targetNamespace="http://schemas.microsoft.com/office/2006/metadata/properties" ma:root="true" ma:fieldsID="c04f2102c8aa0227de4706d7a253c04a" ns2:_="" ns3:_="">
    <xsd:import namespace="c5ca30e9-1eeb-40d3-9261-998391ffbde0"/>
    <xsd:import namespace="3c376949-ac9d-47eb-9dbd-9ddcd9bcd52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ca30e9-1eeb-40d3-9261-998391ffbd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c376949-ac9d-47eb-9dbd-9ddcd9bcd52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F09B1EA-9864-4AF2-9751-B18E8DF71D6E}">
  <ds:schemaRefs>
    <ds:schemaRef ds:uri="http://schemas.microsoft.com/sharepoint/v3/contenttype/forms"/>
  </ds:schemaRefs>
</ds:datastoreItem>
</file>

<file path=customXml/itemProps2.xml><?xml version="1.0" encoding="utf-8"?>
<ds:datastoreItem xmlns:ds="http://schemas.openxmlformats.org/officeDocument/2006/customXml" ds:itemID="{902650A1-B6B6-422B-A7C6-CD1C602B47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ca30e9-1eeb-40d3-9261-998391ffbde0"/>
    <ds:schemaRef ds:uri="3c376949-ac9d-47eb-9dbd-9ddcd9bcd5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C69CFF-9456-4BDB-A753-F9055A65C716}">
  <ds:schemaRefs>
    <ds:schemaRef ds:uri="http://schemas.microsoft.com/office/2006/metadata/properties"/>
    <ds:schemaRef ds:uri="http://schemas.microsoft.com/office/2006/documentManagement/types"/>
    <ds:schemaRef ds:uri="http://purl.org/dc/elements/1.1/"/>
    <ds:schemaRef ds:uri="http://purl.org/dc/terms/"/>
    <ds:schemaRef ds:uri="http://purl.org/dc/dcmitype/"/>
    <ds:schemaRef ds:uri="http://schemas.microsoft.com/office/infopath/2007/PartnerControls"/>
    <ds:schemaRef ds:uri="http://schemas.openxmlformats.org/package/2006/metadata/core-properties"/>
    <ds:schemaRef ds:uri="3c376949-ac9d-47eb-9dbd-9ddcd9bcd520"/>
    <ds:schemaRef ds:uri="c5ca30e9-1eeb-40d3-9261-998391ffbde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Capacity_8_hrs</vt:lpstr>
      <vt:lpstr>BAU</vt:lpstr>
      <vt:lpstr>POD Structure</vt:lpstr>
      <vt:lpstr>Timeline</vt:lpstr>
      <vt:lpstr>PBIs Sprint 1</vt:lpstr>
      <vt:lpstr>PBIs Sprint 2</vt:lpstr>
      <vt:lpstr>PBIs Sprint 3</vt:lpstr>
      <vt:lpstr>PBIs Sprint 4</vt:lpstr>
      <vt:lpstr>todo</vt:lpstr>
      <vt:lpstr>PBIs Sprint 3 old</vt:lpstr>
      <vt:lpstr>PBIs Sprint 2 old</vt:lpstr>
      <vt:lpstr>Sheet1</vt:lpstr>
      <vt:lpstr>SP Estimation guidelines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Kulkarni, Manik</dc:creator>
  <cp:keywords/>
  <dc:description/>
  <cp:lastModifiedBy>Kulkarni, Manik</cp:lastModifiedBy>
  <cp:revision/>
  <dcterms:created xsi:type="dcterms:W3CDTF">2021-04-05T11:13:19Z</dcterms:created>
  <dcterms:modified xsi:type="dcterms:W3CDTF">2022-02-10T11:12:16Z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2022-01-20T06:36:25Z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6e824367-1404-4261-97ab-3f9dc13f5dcc</vt:lpwstr>
  </property>
  <property fmtid="{D5CDD505-2E9C-101B-9397-08002B2CF9AE}" pid="8" name="MSIP_Label_ea60d57e-af5b-4752-ac57-3e4f28ca11dc_ContentBits">
    <vt:lpwstr>0</vt:lpwstr>
  </property>
  <property fmtid="{D5CDD505-2E9C-101B-9397-08002B2CF9AE}" pid="9" name="ContentTypeId">
    <vt:lpwstr>0x0101004FE4174DB7680C4DB88A51B0D4614172</vt:lpwstr>
  </property>
</Properties>
</file>